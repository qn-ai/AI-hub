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sults" sheetId="1" state="visible" r:id="rId1"/>
    <sheet xmlns:r="http://schemas.openxmlformats.org/officeDocument/2006/relationships" name="Summary Dashboard" sheetId="2" state="visible" r:id="rId2"/>
    <sheet xmlns:r="http://schemas.openxmlformats.org/officeDocument/2006/relationships" name="Pass Threshold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b val="1"/>
      <color rgb="00FFFFFF"/>
      <sz val="11"/>
    </font>
    <font>
      <name val="Arial"/>
      <color rgb="00000000"/>
      <sz val="9"/>
    </font>
    <font>
      <name val="Arial"/>
      <b val="1"/>
      <color rgb="00FFFFFF"/>
      <sz val="13"/>
    </font>
    <font>
      <name val="Arial"/>
      <b val="1"/>
      <color rgb="00FFFFFF"/>
      <sz val="10"/>
    </font>
    <font>
      <name val="Arial"/>
      <sz val="10"/>
    </font>
    <font>
      <name val="Arial"/>
      <b val="1"/>
      <color rgb="001F3864"/>
      <sz val="10"/>
    </font>
    <font>
      <name val="Arial"/>
      <b val="1"/>
      <sz val="10"/>
    </font>
  </fonts>
  <fills count="13">
    <fill>
      <patternFill/>
    </fill>
    <fill>
      <patternFill patternType="gray125"/>
    </fill>
    <fill>
      <patternFill patternType="solid">
        <fgColor rgb="001F3864"/>
      </patternFill>
    </fill>
    <fill>
      <patternFill patternType="solid">
        <fgColor rgb="002E75B6"/>
      </patternFill>
    </fill>
    <fill>
      <patternFill patternType="solid">
        <fgColor rgb="00D9EAD3"/>
      </patternFill>
    </fill>
    <fill>
      <patternFill patternType="solid">
        <fgColor rgb="00FFC000"/>
      </patternFill>
    </fill>
    <fill>
      <patternFill patternType="solid">
        <fgColor rgb="00F4CCCC"/>
      </patternFill>
    </fill>
    <fill>
      <patternFill patternType="solid">
        <fgColor rgb="00FCE5CD"/>
      </patternFill>
    </fill>
    <fill>
      <patternFill patternType="solid">
        <fgColor rgb="00CFE2F3"/>
      </patternFill>
    </fill>
    <fill>
      <patternFill patternType="solid">
        <fgColor rgb="00F2F2F2"/>
      </patternFill>
    </fill>
    <fill>
      <patternFill patternType="solid">
        <fgColor rgb="00FFFFFF"/>
      </patternFill>
    </fill>
    <fill>
      <patternFill patternType="solid">
        <fgColor rgb="00FFDCE1"/>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4" fillId="2" borderId="0" applyAlignment="1" pivotButton="0" quotePrefix="0" xfId="0">
      <alignment horizontal="center" vertical="center"/>
    </xf>
    <xf numFmtId="0" fontId="5" fillId="3" borderId="0" applyAlignment="1" pivotButton="0" quotePrefix="0" xfId="0">
      <alignment horizontal="left" vertical="center"/>
    </xf>
    <xf numFmtId="0" fontId="6" fillId="9" borderId="1" applyAlignment="1" pivotButton="0" quotePrefix="0" xfId="0">
      <alignment horizontal="left" vertical="center" indent="1"/>
    </xf>
    <xf numFmtId="0" fontId="7" fillId="9" borderId="1" applyAlignment="1" pivotButton="0" quotePrefix="0" xfId="0">
      <alignment horizontal="center" vertical="center"/>
    </xf>
    <xf numFmtId="0" fontId="6" fillId="10" borderId="1" applyAlignment="1" pivotButton="0" quotePrefix="0" xfId="0">
      <alignment horizontal="left" vertical="center" indent="1"/>
    </xf>
    <xf numFmtId="0" fontId="7" fillId="10" borderId="1" applyAlignment="1" pivotButton="0" quotePrefix="0" xfId="0">
      <alignment horizontal="center" vertical="center"/>
    </xf>
    <xf numFmtId="164" fontId="7" fillId="10" borderId="1" applyAlignment="1" pivotButton="0" quotePrefix="0" xfId="0">
      <alignment horizontal="center" vertical="center"/>
    </xf>
    <xf numFmtId="2" fontId="7" fillId="9" borderId="1" applyAlignment="1" pivotButton="0" quotePrefix="0" xfId="0">
      <alignment horizontal="center" vertical="center"/>
    </xf>
    <xf numFmtId="2" fontId="7" fillId="10" borderId="1" applyAlignment="1" pivotButton="0" quotePrefix="0" xfId="0">
      <alignment horizontal="center" vertical="center"/>
    </xf>
    <xf numFmtId="164" fontId="7" fillId="9" borderId="1" applyAlignment="1" pivotButton="0" quotePrefix="0" xfId="0">
      <alignment horizontal="center" vertical="center"/>
    </xf>
    <xf numFmtId="0" fontId="8" fillId="11" borderId="1" applyAlignment="1" pivotButton="0" quotePrefix="0" xfId="0">
      <alignment horizontal="center" vertical="center"/>
    </xf>
    <xf numFmtId="0" fontId="8" fillId="12" borderId="1" applyAlignment="1" pivotButton="0" quotePrefix="0" xfId="0">
      <alignment horizontal="center" vertical="center"/>
    </xf>
  </cellXfs>
  <cellStyles count="1">
    <cellStyle name="Normal" xfId="0" builtinId="0" hidden="0"/>
  </cellStyles>
  <dxfs count="3">
    <dxf>
      <fill>
        <patternFill patternType="solid">
          <fgColor rgb="00E2EFDA"/>
        </patternFill>
      </fill>
    </dxf>
    <dxf>
      <fill>
        <patternFill patternType="solid">
          <fgColor rgb="00FFDCE1"/>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showGridLines="0" workbookViewId="0">
      <pane ySplit="2" topLeftCell="A3" activePane="bottomLeft" state="frozen"/>
      <selection pane="bottomLeft" activeCell="A1" sqref="A1"/>
    </sheetView>
  </sheetViews>
  <sheetFormatPr baseColWidth="8" defaultRowHeight="15"/>
  <cols>
    <col width="4" customWidth="1" min="1" max="1"/>
    <col width="11" customWidth="1" min="2" max="2"/>
    <col width="22" customWidth="1" min="3" max="3"/>
    <col width="42" customWidth="1" min="4" max="4"/>
    <col width="22" customWidth="1" min="5" max="5"/>
    <col width="42" customWidth="1" min="6" max="6"/>
    <col width="42" customWidth="1" min="7" max="7"/>
    <col width="10" customWidth="1" min="8" max="8"/>
    <col width="10" customWidth="1" min="9" max="9"/>
    <col width="10" customWidth="1" min="10" max="10"/>
    <col width="12" customWidth="1" min="11" max="11"/>
    <col width="10" customWidth="1" min="12" max="12"/>
    <col width="10" customWidth="1" min="13" max="13"/>
    <col width="10" customWidth="1" min="14" max="14"/>
    <col width="10" customWidth="1" min="15" max="15"/>
    <col width="30" customWidth="1" min="16" max="16"/>
  </cols>
  <sheetData>
    <row r="1" ht="36" customHeight="1">
      <c r="A1" s="1" t="inlineStr">
        <is>
          <t>Nova Pro — Bedrock Chat UI  |  20-Question Baseline Evaluation</t>
        </is>
      </c>
    </row>
    <row r="2" ht="52" customHeight="1">
      <c r="A2" s="2" t="inlineStr">
        <is>
          <t>#</t>
        </is>
      </c>
      <c r="B2" s="2" t="inlineStr">
        <is>
          <t>Category</t>
        </is>
      </c>
      <c r="C2" s="2" t="inlineStr">
        <is>
          <t>Article / Topic</t>
        </is>
      </c>
      <c r="D2" s="2" t="inlineStr">
        <is>
          <t>Question</t>
        </is>
      </c>
      <c r="E2" s="2" t="inlineStr">
        <is>
          <t>Ground Truth</t>
        </is>
      </c>
      <c r="F2" s="2" t="inlineStr">
        <is>
          <t>Retrieval Context</t>
        </is>
      </c>
      <c r="G2" s="2" t="inlineStr">
        <is>
          <t>Nova Pro Response</t>
        </is>
      </c>
      <c r="H2" s="2" t="inlineStr">
        <is>
          <t>Correct Refusal?
(unans only)</t>
        </is>
      </c>
      <c r="I2" s="2" t="inlineStr">
        <is>
          <t>Factual
Accuracy
(1–5)</t>
        </is>
      </c>
      <c r="J2" s="2" t="inlineStr">
        <is>
          <t>Completeness
(1–5)</t>
        </is>
      </c>
      <c r="K2" s="2" t="inlineStr">
        <is>
          <t>Hallucination
Risk</t>
        </is>
      </c>
      <c r="L2" s="2" t="inlineStr">
        <is>
          <t>Tone &amp;
Format
(1–5)</t>
        </is>
      </c>
      <c r="M2" s="2" t="inlineStr">
        <is>
          <t>ROUGE-L
(optional)</t>
        </is>
      </c>
      <c r="N2" s="2" t="inlineStr">
        <is>
          <t>Overall
Score</t>
        </is>
      </c>
      <c r="O2" s="2" t="inlineStr">
        <is>
          <t>Pass/Fail</t>
        </is>
      </c>
      <c r="P2" s="2" t="inlineStr">
        <is>
          <t>Notes</t>
        </is>
      </c>
    </row>
    <row r="3" ht="60" customHeight="1">
      <c r="A3" s="3" t="n">
        <v>1</v>
      </c>
      <c r="B3" s="3" t="inlineStr">
        <is>
          <t>SHORT</t>
        </is>
      </c>
      <c r="C3" s="4" t="inlineStr">
        <is>
          <t>Institute of technology</t>
        </is>
      </c>
      <c r="D3" s="4" t="inlineStr">
        <is>
          <t>In addition to technology, Fachhochschulen offer courses in social science, medicine, design, and what other discipline?</t>
        </is>
      </c>
      <c r="E3" s="4" t="inlineStr">
        <is>
          <t>business</t>
        </is>
      </c>
      <c r="F3" s="4" t="inlineStr">
        <is>
          <t>Fachhochschulen were first founded in the early 1970s. They do not focus exclusively on technology, but may also offer courses in social science, medicine, business and design. They grant bachelor's degrees and master's degrees, and focus more on teaching than research and more on specific professio…</t>
        </is>
      </c>
      <c r="G3" s="4" t="inlineStr"/>
      <c r="H3" s="3" t="inlineStr"/>
      <c r="I3" s="3" t="inlineStr"/>
      <c r="J3" s="3" t="inlineStr"/>
      <c r="K3" s="3" t="inlineStr"/>
      <c r="L3" s="3" t="inlineStr"/>
      <c r="M3" s="3" t="inlineStr"/>
      <c r="N3" s="5">
        <f>IFERROR(AVERAGE(I3,J3,L3),"")</f>
        <v/>
      </c>
      <c r="O3" s="3" t="inlineStr"/>
      <c r="P3" s="4" t="inlineStr"/>
    </row>
    <row r="4" ht="60" customHeight="1">
      <c r="A4" s="6" t="n">
        <v>2</v>
      </c>
      <c r="B4" s="6" t="inlineStr">
        <is>
          <t>UNANSWERABLE</t>
        </is>
      </c>
      <c r="C4" s="7" t="inlineStr">
        <is>
          <t>Royal Institute of British Architects</t>
        </is>
      </c>
      <c r="D4" s="7" t="inlineStr">
        <is>
          <t>What abbreviation can no longer be used by Fellows of the Royal Institute with their names?</t>
        </is>
      </c>
      <c r="E4" s="7" t="inlineStr">
        <is>
          <t>— (unanswerable)</t>
        </is>
      </c>
      <c r="F4" s="7" t="inlineStr">
        <is>
          <t>The RIBA is a member organisation, with 44,000 members. Chartered Members are entitled to call themselves chartered architects and to append the post-nominals RIBA after their name; Student Members are not permitted to do so. Formerly, fellowships of the institute were granted, although no longer; t…</t>
        </is>
      </c>
      <c r="G4" s="7" t="inlineStr"/>
      <c r="H4" s="6" t="inlineStr"/>
      <c r="I4" s="6" t="inlineStr"/>
      <c r="J4" s="6" t="inlineStr"/>
      <c r="K4" s="6" t="inlineStr"/>
      <c r="L4" s="6" t="inlineStr"/>
      <c r="M4" s="6" t="inlineStr"/>
      <c r="N4" s="5">
        <f>IFERROR(AVERAGE(I4,J4,L4),"")</f>
        <v/>
      </c>
      <c r="O4" s="6" t="inlineStr"/>
      <c r="P4" s="7" t="inlineStr"/>
    </row>
    <row r="5" ht="60" customHeight="1">
      <c r="A5" s="6" t="n">
        <v>3</v>
      </c>
      <c r="B5" s="6" t="inlineStr">
        <is>
          <t>UNANSWERABLE</t>
        </is>
      </c>
      <c r="C5" s="7" t="inlineStr">
        <is>
          <t>Federal Aviation Administration</t>
        </is>
      </c>
      <c r="D5" s="7" t="inlineStr">
        <is>
          <t>What was the act that phased out airline deregulation?</t>
        </is>
      </c>
      <c r="E5" s="7" t="inlineStr">
        <is>
          <t>— (unanswerable)</t>
        </is>
      </c>
      <c r="F5" s="7" t="inlineStr">
        <is>
          <t>By the mid-1970s, the agency had achieved a semi-automated air traffic control system using both radar and computer technology. This system required enhancement to keep pace with air traffic growth, however, especially after the Airline Deregulation Act of 1978 phased out the CAB's economic regulati…</t>
        </is>
      </c>
      <c r="G5" s="7" t="inlineStr"/>
      <c r="H5" s="6" t="inlineStr"/>
      <c r="I5" s="6" t="inlineStr"/>
      <c r="J5" s="6" t="inlineStr"/>
      <c r="K5" s="6" t="inlineStr"/>
      <c r="L5" s="6" t="inlineStr"/>
      <c r="M5" s="6" t="inlineStr"/>
      <c r="N5" s="5">
        <f>IFERROR(AVERAGE(I5,J5,L5),"")</f>
        <v/>
      </c>
      <c r="O5" s="6" t="inlineStr"/>
      <c r="P5" s="7" t="inlineStr"/>
    </row>
    <row r="6" ht="60" customHeight="1">
      <c r="A6" s="3" t="n">
        <v>4</v>
      </c>
      <c r="B6" s="3" t="inlineStr">
        <is>
          <t>SHORT</t>
        </is>
      </c>
      <c r="C6" s="4" t="inlineStr">
        <is>
          <t>Heresy</t>
        </is>
      </c>
      <c r="D6" s="4" t="inlineStr">
        <is>
          <t>What is the study of heresy?</t>
        </is>
      </c>
      <c r="E6" s="4" t="inlineStr">
        <is>
          <t>Heresiology</t>
        </is>
      </c>
      <c r="F6" s="4" t="inlineStr">
        <is>
          <t>The term heresy is from Greek αἵρεσις originally meant "choice" or "thing chosen", but it came to mean the "party or school of a man's choice" and also referred to that process whereby a young person would examine various philosophies to determine how to live. The word "heresy" is usually used withi…</t>
        </is>
      </c>
      <c r="G6" s="4" t="inlineStr"/>
      <c r="H6" s="3" t="inlineStr"/>
      <c r="I6" s="3" t="inlineStr"/>
      <c r="J6" s="3" t="inlineStr"/>
      <c r="K6" s="3" t="inlineStr"/>
      <c r="L6" s="3" t="inlineStr"/>
      <c r="M6" s="3" t="inlineStr"/>
      <c r="N6" s="5">
        <f>IFERROR(AVERAGE(I6,J6,L6),"")</f>
        <v/>
      </c>
      <c r="O6" s="3" t="inlineStr"/>
      <c r="P6" s="4" t="inlineStr"/>
    </row>
    <row r="7" ht="60" customHeight="1">
      <c r="A7" s="8" t="n">
        <v>5</v>
      </c>
      <c r="B7" s="8" t="inlineStr">
        <is>
          <t>MEDIUM</t>
        </is>
      </c>
      <c r="C7" s="9" t="inlineStr">
        <is>
          <t>Plymouth</t>
        </is>
      </c>
      <c r="D7" s="9" t="inlineStr">
        <is>
          <t>What institution of higher education is colloquially known as Marjons?</t>
        </is>
      </c>
      <c r="E7" s="9" t="inlineStr">
        <is>
          <t>The University of St Mark &amp; St John</t>
        </is>
      </c>
      <c r="F7" s="9" t="inlineStr">
        <is>
          <t>The University of St Mark &amp; St John (known as "Marjon" or "Marjons") specialises in teacher training, and offers training across the country and abroad.</t>
        </is>
      </c>
      <c r="G7" s="9" t="inlineStr"/>
      <c r="H7" s="8" t="inlineStr"/>
      <c r="I7" s="8" t="inlineStr"/>
      <c r="J7" s="8" t="inlineStr"/>
      <c r="K7" s="8" t="inlineStr"/>
      <c r="L7" s="8" t="inlineStr"/>
      <c r="M7" s="8" t="inlineStr"/>
      <c r="N7" s="5">
        <f>IFERROR(AVERAGE(I7,J7,L7),"")</f>
        <v/>
      </c>
      <c r="O7" s="8" t="inlineStr"/>
      <c r="P7" s="9" t="inlineStr"/>
    </row>
    <row r="8" ht="60" customHeight="1">
      <c r="A8" s="8" t="n">
        <v>6</v>
      </c>
      <c r="B8" s="8" t="inlineStr">
        <is>
          <t>MEDIUM</t>
        </is>
      </c>
      <c r="C8" s="9" t="inlineStr">
        <is>
          <t>Institute of technology</t>
        </is>
      </c>
      <c r="D8" s="9" t="inlineStr">
        <is>
          <t>What Irish institute of technology evolved independently of the Regional Technical College System?</t>
        </is>
      </c>
      <c r="E8" s="9" t="inlineStr">
        <is>
          <t>Dublin Institute of Technology</t>
        </is>
      </c>
      <c r="F8" s="9" t="inlineStr">
        <is>
          <t>Dublin Institute of Technology developed separately from the Regional Technical College system, and after several decades of association with the University of Dublin, Trinity College it acquired the authority to confer its own degrees.</t>
        </is>
      </c>
      <c r="G8" s="9" t="inlineStr"/>
      <c r="H8" s="8" t="inlineStr"/>
      <c r="I8" s="8" t="inlineStr"/>
      <c r="J8" s="8" t="inlineStr"/>
      <c r="K8" s="8" t="inlineStr"/>
      <c r="L8" s="8" t="inlineStr"/>
      <c r="M8" s="8" t="inlineStr"/>
      <c r="N8" s="5">
        <f>IFERROR(AVERAGE(I8,J8,L8),"")</f>
        <v/>
      </c>
      <c r="O8" s="8" t="inlineStr"/>
      <c r="P8" s="9" t="inlineStr"/>
    </row>
    <row r="9" ht="60" customHeight="1">
      <c r="A9" s="10" t="n">
        <v>7</v>
      </c>
      <c r="B9" s="10" t="inlineStr">
        <is>
          <t>LONG</t>
        </is>
      </c>
      <c r="C9" s="11" t="inlineStr">
        <is>
          <t>Prime minister</t>
        </is>
      </c>
      <c r="D9" s="11" t="inlineStr">
        <is>
          <t>From where is the Irish prime minister usually selected?</t>
        </is>
      </c>
      <c r="E9" s="11" t="inlineStr">
        <is>
          <t>the political party that commands majority of seats in the lower house of parliament</t>
        </is>
      </c>
      <c r="F9" s="11" t="inlineStr">
        <is>
          <t>Some states, however, do have a term of office of the prime minister linked to the period in office of the parliament. Hence the Irish Taoiseach is formally 'renominated' after every general election. (Some constitutional experts have questioned whether this process is actually in keeping with the p…</t>
        </is>
      </c>
      <c r="G9" s="11" t="inlineStr"/>
      <c r="H9" s="10" t="inlineStr"/>
      <c r="I9" s="10" t="inlineStr"/>
      <c r="J9" s="10" t="inlineStr"/>
      <c r="K9" s="10" t="inlineStr"/>
      <c r="L9" s="10" t="inlineStr"/>
      <c r="M9" s="10" t="inlineStr"/>
      <c r="N9" s="5">
        <f>IFERROR(AVERAGE(I9,J9,L9),"")</f>
        <v/>
      </c>
      <c r="O9" s="10" t="inlineStr"/>
      <c r="P9" s="11" t="inlineStr"/>
    </row>
    <row r="10" ht="60" customHeight="1">
      <c r="A10" s="3" t="n">
        <v>8</v>
      </c>
      <c r="B10" s="3" t="inlineStr">
        <is>
          <t>SHORT</t>
        </is>
      </c>
      <c r="C10" s="4" t="inlineStr">
        <is>
          <t>Plymouth</t>
        </is>
      </c>
      <c r="D10" s="4" t="inlineStr">
        <is>
          <t>Of what university is the Roland Levinsky building a part?</t>
        </is>
      </c>
      <c r="E10" s="4" t="inlineStr">
        <is>
          <t>University of Plymouth</t>
        </is>
      </c>
      <c r="F10" s="4" t="inlineStr">
        <is>
          <t>The Roland Levinsky building, the landmark building of the University of Plymouth, is located in the city's central quarter. Designed by leading architect Henning Larsen, the building was opened in 2008 and houses the University's Arts faculty. It has been consistently considered one of the UK's mos…</t>
        </is>
      </c>
      <c r="G10" s="4" t="inlineStr"/>
      <c r="H10" s="3" t="inlineStr"/>
      <c r="I10" s="3" t="inlineStr"/>
      <c r="J10" s="3" t="inlineStr"/>
      <c r="K10" s="3" t="inlineStr"/>
      <c r="L10" s="3" t="inlineStr"/>
      <c r="M10" s="3" t="inlineStr"/>
      <c r="N10" s="5">
        <f>IFERROR(AVERAGE(I10,J10,L10),"")</f>
        <v/>
      </c>
      <c r="O10" s="3" t="inlineStr"/>
      <c r="P10" s="4" t="inlineStr"/>
    </row>
    <row r="11" ht="60" customHeight="1">
      <c r="A11" s="6" t="n">
        <v>9</v>
      </c>
      <c r="B11" s="6" t="inlineStr">
        <is>
          <t>UNANSWERABLE</t>
        </is>
      </c>
      <c r="C11" s="7" t="inlineStr">
        <is>
          <t>Beer</t>
        </is>
      </c>
      <c r="D11" s="7" t="inlineStr">
        <is>
          <t>What was the abv of Utopias that was brewed in Britain?</t>
        </is>
      </c>
      <c r="E11" s="7" t="inlineStr">
        <is>
          <t>— (unanswerable)</t>
        </is>
      </c>
      <c r="F11" s="7" t="inlineStr">
        <is>
          <t>The strength of beers has climbed during the later years of the 20th century. Vetter 33, a 10.5% abv (33 degrees Plato, hence Vetter "33") doppelbock, was listed in the 1994 Guinness Book of World Records as the strongest beer at that time, though Samichlaus, by the Swiss brewer Hürlimann, had also …</t>
        </is>
      </c>
      <c r="G11" s="7" t="inlineStr"/>
      <c r="H11" s="6" t="inlineStr"/>
      <c r="I11" s="6" t="inlineStr"/>
      <c r="J11" s="6" t="inlineStr"/>
      <c r="K11" s="6" t="inlineStr"/>
      <c r="L11" s="6" t="inlineStr"/>
      <c r="M11" s="6" t="inlineStr"/>
      <c r="N11" s="5">
        <f>IFERROR(AVERAGE(I11,J11,L11),"")</f>
        <v/>
      </c>
      <c r="O11" s="6" t="inlineStr"/>
      <c r="P11" s="7" t="inlineStr"/>
    </row>
    <row r="12" ht="60" customHeight="1">
      <c r="A12" s="6" t="n">
        <v>10</v>
      </c>
      <c r="B12" s="6" t="inlineStr">
        <is>
          <t>UNANSWERABLE</t>
        </is>
      </c>
      <c r="C12" s="7" t="inlineStr">
        <is>
          <t>Aircraft carrier</t>
        </is>
      </c>
      <c r="D12" s="7" t="inlineStr">
        <is>
          <t>Which other carrier joins the USS America in unactive service?</t>
        </is>
      </c>
      <c r="E12" s="7" t="inlineStr">
        <is>
          <t>— (unanswerable)</t>
        </is>
      </c>
      <c r="F12" s="7" t="inlineStr">
        <is>
          <t>With the deactivation of USS Enterprise in December 2012, the U.S. fleet comprises 10 supercarriers. The House Armed Services Seapower subcommittee on 24 July 2007, recommended seven or maybe eight new carriers (one every four years). However, the debate has deepened over budgeting for the $12–14.5 …</t>
        </is>
      </c>
      <c r="G12" s="7" t="inlineStr"/>
      <c r="H12" s="6" t="inlineStr"/>
      <c r="I12" s="6" t="inlineStr"/>
      <c r="J12" s="6" t="inlineStr"/>
      <c r="K12" s="6" t="inlineStr"/>
      <c r="L12" s="6" t="inlineStr"/>
      <c r="M12" s="6" t="inlineStr"/>
      <c r="N12" s="5">
        <f>IFERROR(AVERAGE(I12,J12,L12),"")</f>
        <v/>
      </c>
      <c r="O12" s="6" t="inlineStr"/>
      <c r="P12" s="7" t="inlineStr"/>
    </row>
    <row r="13" ht="60" customHeight="1">
      <c r="A13" s="10" t="n">
        <v>11</v>
      </c>
      <c r="B13" s="10" t="inlineStr">
        <is>
          <t>LONG</t>
        </is>
      </c>
      <c r="C13" s="11" t="inlineStr">
        <is>
          <t>Architecture</t>
        </is>
      </c>
      <c r="D13" s="11" t="inlineStr">
        <is>
          <t>What aspects of a building were considered part of the larger concept of function?</t>
        </is>
      </c>
      <c r="E13" s="11" t="inlineStr">
        <is>
          <t>all criteria of the use, perception and enjoyment of a building</t>
        </is>
      </c>
      <c r="F13" s="11" t="inlineStr">
        <is>
          <t>While the notion that structural and aesthetic considerations should be entirely subject to functionality was met with both popularity and skepticism, it had the effect of introducing the concept of "function" in place of Vitruvius' "utility". "Function" came to be seen as encompassing all criteria …</t>
        </is>
      </c>
      <c r="G13" s="11" t="inlineStr"/>
      <c r="H13" s="10" t="inlineStr"/>
      <c r="I13" s="10" t="inlineStr"/>
      <c r="J13" s="10" t="inlineStr"/>
      <c r="K13" s="10" t="inlineStr"/>
      <c r="L13" s="10" t="inlineStr"/>
      <c r="M13" s="10" t="inlineStr"/>
      <c r="N13" s="5">
        <f>IFERROR(AVERAGE(I13,J13,L13),"")</f>
        <v/>
      </c>
      <c r="O13" s="10" t="inlineStr"/>
      <c r="P13" s="11" t="inlineStr"/>
    </row>
    <row r="14" ht="60" customHeight="1">
      <c r="A14" s="3" t="n">
        <v>12</v>
      </c>
      <c r="B14" s="3" t="inlineStr">
        <is>
          <t>SHORT</t>
        </is>
      </c>
      <c r="C14" s="4" t="inlineStr">
        <is>
          <t>Genome</t>
        </is>
      </c>
      <c r="D14" s="4" t="inlineStr">
        <is>
          <t>What is the content of the human genome?</t>
        </is>
      </c>
      <c r="E14" s="4" t="inlineStr">
        <is>
          <t>DNA</t>
        </is>
      </c>
      <c r="F14" s="4" t="inlineStr">
        <is>
          <t>In modern molecular biology and genetics, the genome is the genetic material of an organism. It consists of DNA (or RNA in RNA viruses). The genome includes both the genes and the non-coding sequences of the DNA/RNA.</t>
        </is>
      </c>
      <c r="G14" s="4" t="inlineStr"/>
      <c r="H14" s="3" t="inlineStr"/>
      <c r="I14" s="3" t="inlineStr"/>
      <c r="J14" s="3" t="inlineStr"/>
      <c r="K14" s="3" t="inlineStr"/>
      <c r="L14" s="3" t="inlineStr"/>
      <c r="M14" s="3" t="inlineStr"/>
      <c r="N14" s="5">
        <f>IFERROR(AVERAGE(I14,J14,L14),"")</f>
        <v/>
      </c>
      <c r="O14" s="3" t="inlineStr"/>
      <c r="P14" s="4" t="inlineStr"/>
    </row>
    <row r="15" ht="60" customHeight="1">
      <c r="A15" s="8" t="n">
        <v>13</v>
      </c>
      <c r="B15" s="8" t="inlineStr">
        <is>
          <t>MEDIUM</t>
        </is>
      </c>
      <c r="C15" s="9" t="inlineStr">
        <is>
          <t>Arnold Schwarzenegger</t>
        </is>
      </c>
      <c r="D15" s="9" t="inlineStr">
        <is>
          <t>What's the title of Schwarzenegger's 1977 book?</t>
        </is>
      </c>
      <c r="E15" s="9" t="inlineStr">
        <is>
          <t>Arnold: The Education of a Bodybuilder</t>
        </is>
      </c>
      <c r="F15" s="9" t="inlineStr">
        <is>
          <t>In 1977, Schwarzenegger's autobiography/weight-training guide Arnold: The Education of a Bodybuilder was published and became a huge success. After taking English classes at Santa Monica College in California, he earned a BA by correspondence from the University of Wisconsin–Superior, where he gradu…</t>
        </is>
      </c>
      <c r="G15" s="9" t="inlineStr"/>
      <c r="H15" s="8" t="inlineStr"/>
      <c r="I15" s="8" t="inlineStr"/>
      <c r="J15" s="8" t="inlineStr"/>
      <c r="K15" s="8" t="inlineStr"/>
      <c r="L15" s="8" t="inlineStr"/>
      <c r="M15" s="8" t="inlineStr"/>
      <c r="N15" s="5">
        <f>IFERROR(AVERAGE(I15,J15,L15),"")</f>
        <v/>
      </c>
      <c r="O15" s="8" t="inlineStr"/>
      <c r="P15" s="9" t="inlineStr"/>
    </row>
    <row r="16" ht="60" customHeight="1">
      <c r="A16" s="6" t="n">
        <v>14</v>
      </c>
      <c r="B16" s="6" t="inlineStr">
        <is>
          <t>UNANSWERABLE</t>
        </is>
      </c>
      <c r="C16" s="7" t="inlineStr">
        <is>
          <t>Spectre (2015 film)</t>
        </is>
      </c>
      <c r="D16" s="7" t="inlineStr">
        <is>
          <t>Where was support expressed for the censored film?</t>
        </is>
      </c>
      <c r="E16" s="7" t="inlineStr">
        <is>
          <t>— (unanswerable)</t>
        </is>
      </c>
      <c r="F16" s="7" t="inlineStr">
        <is>
          <t>In India, it was reported that the Indian Central Board of Film Certification (CBFC) censored kissing scenes featuring Monica Bellucci, Daniel Craig, and Léa Seydoux. They also muted all profanity. This prompted criticism of the board online, especially on Twitter.</t>
        </is>
      </c>
      <c r="G16" s="7" t="inlineStr"/>
      <c r="H16" s="6" t="inlineStr"/>
      <c r="I16" s="6" t="inlineStr"/>
      <c r="J16" s="6" t="inlineStr"/>
      <c r="K16" s="6" t="inlineStr"/>
      <c r="L16" s="6" t="inlineStr"/>
      <c r="M16" s="6" t="inlineStr"/>
      <c r="N16" s="5">
        <f>IFERROR(AVERAGE(I16,J16,L16),"")</f>
        <v/>
      </c>
      <c r="O16" s="6" t="inlineStr"/>
      <c r="P16" s="7" t="inlineStr"/>
    </row>
    <row r="17" ht="60" customHeight="1">
      <c r="A17" s="3" t="n">
        <v>15</v>
      </c>
      <c r="B17" s="3" t="inlineStr">
        <is>
          <t>SHORT</t>
        </is>
      </c>
      <c r="C17" s="4" t="inlineStr">
        <is>
          <t>Arnold Schwarzenegger</t>
        </is>
      </c>
      <c r="D17" s="4" t="inlineStr">
        <is>
          <t>What's the title of the fifth film in the Terminator franchise?</t>
        </is>
      </c>
      <c r="E17" s="4" t="inlineStr">
        <is>
          <t>Terminator Genisys</t>
        </is>
      </c>
      <c r="F17" s="4" t="inlineStr">
        <is>
          <t>On May 20, 2011, Schwarzenegger's entertainment counsel announced that all movie projects currently in development were being halted: "Schwarzenegger is focusing on personal matters and is not willing to commit to any production schedules or timelines". On July 11, 2011, it was announced that Schwar…</t>
        </is>
      </c>
      <c r="G17" s="4" t="inlineStr"/>
      <c r="H17" s="3" t="inlineStr"/>
      <c r="I17" s="3" t="inlineStr"/>
      <c r="J17" s="3" t="inlineStr"/>
      <c r="K17" s="3" t="inlineStr"/>
      <c r="L17" s="3" t="inlineStr"/>
      <c r="M17" s="3" t="inlineStr"/>
      <c r="N17" s="5">
        <f>IFERROR(AVERAGE(I17,J17,L17),"")</f>
        <v/>
      </c>
      <c r="O17" s="3" t="inlineStr"/>
      <c r="P17" s="4" t="inlineStr"/>
    </row>
    <row r="18" ht="60" customHeight="1">
      <c r="A18" s="10" t="n">
        <v>16</v>
      </c>
      <c r="B18" s="10" t="inlineStr">
        <is>
          <t>LONG</t>
        </is>
      </c>
      <c r="C18" s="11" t="inlineStr">
        <is>
          <t>New York City</t>
        </is>
      </c>
      <c r="D18" s="11" t="inlineStr">
        <is>
          <t>The three airports that have the most people come through them in NYC are which?</t>
        </is>
      </c>
      <c r="E18" s="11" t="inlineStr">
        <is>
          <t>John F. Kennedy International Airport, Newark Liberty International Airport, and LaGuardia Airport</t>
        </is>
      </c>
      <c r="F18" s="11" t="inlineStr">
        <is>
          <t>New York's airspace is the busiest in the United States and one of the world's busiest air transportation corridors. The three busiest airports in the New York metropolitan area include John F. Kennedy International Airport, Newark Liberty International Airport, and LaGuardia Airport; 109 million tr…</t>
        </is>
      </c>
      <c r="G18" s="11" t="inlineStr"/>
      <c r="H18" s="10" t="inlineStr"/>
      <c r="I18" s="10" t="inlineStr"/>
      <c r="J18" s="10" t="inlineStr"/>
      <c r="K18" s="10" t="inlineStr"/>
      <c r="L18" s="10" t="inlineStr"/>
      <c r="M18" s="10" t="inlineStr"/>
      <c r="N18" s="5">
        <f>IFERROR(AVERAGE(I18,J18,L18),"")</f>
        <v/>
      </c>
      <c r="O18" s="10" t="inlineStr"/>
      <c r="P18" s="11" t="inlineStr"/>
    </row>
    <row r="19" ht="60" customHeight="1">
      <c r="A19" s="8" t="n">
        <v>17</v>
      </c>
      <c r="B19" s="8" t="inlineStr">
        <is>
          <t>MEDIUM</t>
        </is>
      </c>
      <c r="C19" s="9" t="inlineStr">
        <is>
          <t>Genome</t>
        </is>
      </c>
      <c r="D19" s="9" t="inlineStr">
        <is>
          <t>In what fields of science is the genome studied?</t>
        </is>
      </c>
      <c r="E19" s="9" t="inlineStr">
        <is>
          <t>molecular biology and genetics</t>
        </is>
      </c>
      <c r="F19" s="9" t="inlineStr">
        <is>
          <t>In modern molecular biology and genetics, the genome is the genetic material of an organism. It consists of DNA (or RNA in RNA viruses). The genome includes both the genes and the non-coding sequences of the DNA/RNA.</t>
        </is>
      </c>
      <c r="G19" s="9" t="inlineStr"/>
      <c r="H19" s="8" t="inlineStr"/>
      <c r="I19" s="8" t="inlineStr"/>
      <c r="J19" s="8" t="inlineStr"/>
      <c r="K19" s="8" t="inlineStr"/>
      <c r="L19" s="8" t="inlineStr"/>
      <c r="M19" s="8" t="inlineStr"/>
      <c r="N19" s="5">
        <f>IFERROR(AVERAGE(I19,J19,L19),"")</f>
        <v/>
      </c>
      <c r="O19" s="8" t="inlineStr"/>
      <c r="P19" s="9" t="inlineStr"/>
    </row>
    <row r="20" ht="60" customHeight="1">
      <c r="A20" s="10" t="n">
        <v>18</v>
      </c>
      <c r="B20" s="10" t="inlineStr">
        <is>
          <t>LONG</t>
        </is>
      </c>
      <c r="C20" s="11" t="inlineStr">
        <is>
          <t>2008 Sichuan earthquake</t>
        </is>
      </c>
      <c r="D20" s="11" t="inlineStr">
        <is>
          <t>What happened days following the disaster?</t>
        </is>
      </c>
      <c r="E20" s="11" t="inlineStr">
        <is>
          <t>an international reconnaissance team of engineers was dispatched to the region</t>
        </is>
      </c>
      <c r="F20" s="11" t="inlineStr">
        <is>
          <t>In the days following the disaster, an international reconnaissance team of engineers was dispatched to the region to make a detailed preliminary survey of damaged buildings. Their findings show a variety of reasons why many constructions failed to withstand the earthquake.</t>
        </is>
      </c>
      <c r="G20" s="11" t="inlineStr"/>
      <c r="H20" s="10" t="inlineStr"/>
      <c r="I20" s="10" t="inlineStr"/>
      <c r="J20" s="10" t="inlineStr"/>
      <c r="K20" s="10" t="inlineStr"/>
      <c r="L20" s="10" t="inlineStr"/>
      <c r="M20" s="10" t="inlineStr"/>
      <c r="N20" s="5">
        <f>IFERROR(AVERAGE(I20,J20,L20),"")</f>
        <v/>
      </c>
      <c r="O20" s="10" t="inlineStr"/>
      <c r="P20" s="11" t="inlineStr"/>
    </row>
    <row r="21" ht="60" customHeight="1">
      <c r="A21" s="10" t="n">
        <v>19</v>
      </c>
      <c r="B21" s="10" t="inlineStr">
        <is>
          <t>LONG</t>
        </is>
      </c>
      <c r="C21" s="11" t="inlineStr">
        <is>
          <t>Dutch Republic</t>
        </is>
      </c>
      <c r="D21" s="11" t="inlineStr">
        <is>
          <t>The controversy surrounding the subject of predestination is known as what?</t>
        </is>
      </c>
      <c r="E21" s="11" t="inlineStr">
        <is>
          <t>the struggle between Arminianism and Gomarism, or between Remonstrants and Contra-Remonstrants</t>
        </is>
      </c>
      <c r="F21" s="11" t="inlineStr">
        <is>
          <t>In the first years of the Republic, controversy arose within the Reformed Church, mainly around the subject of predestination. This has become known as the struggle between Arminianism and Gomarism, or between Remonstrants and Contra-Remonstrants. In 1618 the Synod of Dort tackled this issue, which …</t>
        </is>
      </c>
      <c r="G21" s="11" t="inlineStr"/>
      <c r="H21" s="10" t="inlineStr"/>
      <c r="I21" s="10" t="inlineStr"/>
      <c r="J21" s="10" t="inlineStr"/>
      <c r="K21" s="10" t="inlineStr"/>
      <c r="L21" s="10" t="inlineStr"/>
      <c r="M21" s="10" t="inlineStr"/>
      <c r="N21" s="5">
        <f>IFERROR(AVERAGE(I21,J21,L21),"")</f>
        <v/>
      </c>
      <c r="O21" s="10" t="inlineStr"/>
      <c r="P21" s="11" t="inlineStr"/>
    </row>
    <row r="22" ht="60" customHeight="1">
      <c r="A22" s="8" t="n">
        <v>20</v>
      </c>
      <c r="B22" s="8" t="inlineStr">
        <is>
          <t>MEDIUM</t>
        </is>
      </c>
      <c r="C22" s="9" t="inlineStr">
        <is>
          <t>Heresy</t>
        </is>
      </c>
      <c r="D22" s="9" t="inlineStr">
        <is>
          <t>What is heresy mainly at odds with?</t>
        </is>
      </c>
      <c r="E22" s="9" t="inlineStr">
        <is>
          <t>established beliefs or customs</t>
        </is>
      </c>
      <c r="F22" s="9" t="inlineStr">
        <is>
          <t>Heresy is any provocative belief or theory that is strongly at variance with established beliefs or customs. A heretic is a proponent of such claims or beliefs. Heresy is distinct from both apostasy, which is the explicit renunciation of one's religion, principles or cause, and blasphemy, which is a…</t>
        </is>
      </c>
      <c r="G22" s="9" t="inlineStr"/>
      <c r="H22" s="8" t="inlineStr"/>
      <c r="I22" s="8" t="inlineStr"/>
      <c r="J22" s="8" t="inlineStr"/>
      <c r="K22" s="8" t="inlineStr"/>
      <c r="L22" s="8" t="inlineStr"/>
      <c r="M22" s="8" t="inlineStr"/>
      <c r="N22" s="5">
        <f>IFERROR(AVERAGE(I22,J22,L22),"")</f>
        <v/>
      </c>
      <c r="O22" s="8" t="inlineStr"/>
      <c r="P22" s="9" t="inlineStr"/>
    </row>
  </sheetData>
  <mergeCells count="1">
    <mergeCell ref="A1:P1"/>
  </mergeCells>
  <conditionalFormatting sqref="O3:O22">
    <cfRule type="expression" priority="1" dxfId="0">
      <formula>O3="Pass"</formula>
    </cfRule>
    <cfRule type="expression" priority="2" dxfId="1">
      <formula>O3="Fail"</formula>
    </cfRule>
    <cfRule type="expression" priority="3" dxfId="2">
      <formula>O3="Partial"</formula>
    </cfRule>
  </conditionalFormatting>
  <conditionalFormatting sqref="K3:K22">
    <cfRule type="expression" priority="4" dxfId="1">
      <formula>K3="high"</formula>
    </cfRule>
    <cfRule type="expression" priority="5" dxfId="0">
      <formula>K3="none"</formula>
    </cfRule>
  </conditionalFormatting>
  <conditionalFormatting sqref="N3:N22">
    <cfRule type="colorScale" priority="6">
      <colorScale>
        <cfvo type="num" val="1"/>
        <cfvo type="num" val="3"/>
        <cfvo type="num" val="5"/>
        <color rgb="00FF0000"/>
        <color rgb="00FFEB84"/>
        <color rgb="0063BE7B"/>
      </colorScale>
    </cfRule>
  </conditionalFormatting>
  <dataValidations count="3">
    <dataValidation sqref="K3 K4 K5 K6 K7 K8 K9 K10 K11 K12 K13 K14 K15 K16 K17 K18 K19 K20 K21 K22" showDropDown="0" showInputMessage="0" showErrorMessage="0" allowBlank="0" type="list">
      <formula1>"none,low,medium,high"</formula1>
    </dataValidation>
    <dataValidation sqref="O3 O4 O5 O6 O7 O8 O9 O10 O11 O12 O13 O14 O15 O16 O17 O18 O19 O20 O21 O22" showDropDown="0" showInputMessage="0" showErrorMessage="0" allowBlank="0" type="list">
      <formula1>"Pass,Fail,Partial"</formula1>
    </dataValidation>
    <dataValidation sqref="H3 H4 H5 H6 H7 H8 H9 H10 H11 H12 H13 H14 H15 H16 H17 H18 H19 H20 H21 H22" showDropDown="0" showInputMessage="0" showErrorMessage="0" allowBlank="0" type="list">
      <formula1>"Yes,No,N/A"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34" customWidth="1" min="1" max="1"/>
    <col width="16" customWidth="1" min="2" max="2"/>
    <col width="34" customWidth="1" min="4" max="4"/>
    <col width="16" customWidth="1" min="5" max="5"/>
  </cols>
  <sheetData>
    <row r="1" ht="36" customHeight="1">
      <c r="A1" s="12" t="inlineStr">
        <is>
          <t>Evaluation Summary — Nova Pro Baseline (20Q)</t>
        </is>
      </c>
    </row>
    <row r="3" ht="22" customHeight="1">
      <c r="A3" s="13" t="inlineStr">
        <is>
          <t>OVERALL</t>
        </is>
      </c>
    </row>
    <row r="4" ht="22" customHeight="1">
      <c r="A4" s="14" t="inlineStr">
        <is>
          <t>Total Questions</t>
        </is>
      </c>
      <c r="B4" s="15">
        <f>COUNTA('Test Results'!A3:A22)</f>
        <v/>
      </c>
    </row>
    <row r="5" ht="22" customHeight="1">
      <c r="A5" s="16" t="inlineStr">
        <is>
          <t>Answered</t>
        </is>
      </c>
      <c r="B5" s="17">
        <f>COUNTA('Test Results'!G3:G22)</f>
        <v/>
      </c>
    </row>
    <row r="6" ht="22" customHeight="1">
      <c r="A6" s="14" t="inlineStr">
        <is>
          <t>Pass</t>
        </is>
      </c>
      <c r="B6" s="15">
        <f>COUNTIF('Test Results'!O3:O22,"Pass")</f>
        <v/>
      </c>
    </row>
    <row r="7" ht="22" customHeight="1">
      <c r="A7" s="16" t="inlineStr">
        <is>
          <t>Fail</t>
        </is>
      </c>
      <c r="B7" s="17">
        <f>COUNTIF('Test Results'!O3:O22,"Fail")</f>
        <v/>
      </c>
    </row>
    <row r="8" ht="22" customHeight="1">
      <c r="A8" s="14" t="inlineStr">
        <is>
          <t>Partial</t>
        </is>
      </c>
      <c r="B8" s="15">
        <f>COUNTIF('Test Results'!O3:O22,"Partial")</f>
        <v/>
      </c>
    </row>
    <row r="9" ht="22" customHeight="1">
      <c r="A9" s="16" t="inlineStr">
        <is>
          <t>Pass Rate</t>
        </is>
      </c>
      <c r="B9" s="18">
        <f>IFERROR(COUNTIF('Test Results'!O3:O22,"Pass")/COUNTA('Test Results'!O3:O22),"")</f>
        <v/>
      </c>
    </row>
    <row r="10" ht="22" customHeight="1">
      <c r="A10" s="14" t="inlineStr">
        <is>
          <t>Avg Factual Accuracy</t>
        </is>
      </c>
      <c r="B10" s="19">
        <f>IFERROR(AVERAGEIF('Test Results'!I3:I22,"&gt;0"),"")</f>
        <v/>
      </c>
    </row>
    <row r="11" ht="22" customHeight="1">
      <c r="A11" s="16" t="inlineStr">
        <is>
          <t>Avg Overall Score</t>
        </is>
      </c>
      <c r="B11" s="20">
        <f>IFERROR(AVERAGEIF('Test Results'!N3:N22,"&gt;0"),"")</f>
        <v/>
      </c>
    </row>
    <row r="12" ht="22" customHeight="1">
      <c r="A12" s="13" t="inlineStr">
        <is>
          <t>HALLUCINATION</t>
        </is>
      </c>
    </row>
    <row r="13" ht="22" customHeight="1">
      <c r="A13" s="16" t="inlineStr">
        <is>
          <t>Unanswerable Qs</t>
        </is>
      </c>
      <c r="B13" s="17">
        <f>COUNTIF('Test Results'!B3:B22,"UNANSWERABLE")</f>
        <v/>
      </c>
    </row>
    <row r="14" ht="22" customHeight="1">
      <c r="A14" s="14" t="inlineStr">
        <is>
          <t>Correct Refusals</t>
        </is>
      </c>
      <c r="B14" s="15">
        <f>COUNTIFS('Test Results'!B3:B22,"UNANSWERABLE",'Test Results'!H3:H22,"Yes")</f>
        <v/>
      </c>
    </row>
    <row r="15" ht="22" customHeight="1">
      <c r="A15" s="16" t="inlineStr">
        <is>
          <t>Refusal Rate</t>
        </is>
      </c>
      <c r="B15" s="18">
        <f>IFERROR(COUNTIFS('Test Results'!B3:B22,"UNANSWERABLE",'Test Results'!H3:H22,"Yes")/COUNTIF('Test Results'!B3:B22,"UNANSWERABLE"),"")</f>
        <v/>
      </c>
    </row>
    <row r="16" ht="22" customHeight="1">
      <c r="A16" s="14" t="inlineStr">
        <is>
          <t>Hallucination Rate</t>
        </is>
      </c>
      <c r="B16" s="21">
        <f>IFERROR(COUNTIFS('Test Results'!B3:B22,"UNANSWERABLE",'Test Results'!H3:H22,"No")/COUNTIF('Test Results'!B3:B22,"UNANSWERABLE"),"")</f>
        <v/>
      </c>
    </row>
    <row r="17" ht="22" customHeight="1">
      <c r="A17" s="16" t="inlineStr">
        <is>
          <t>High Risk Count</t>
        </is>
      </c>
      <c r="B17" s="17">
        <f>COUNTIF('Test Results'!K3:K22,"high")</f>
        <v/>
      </c>
    </row>
    <row r="18" ht="22" customHeight="1">
      <c r="A18" s="13" t="inlineStr">
        <is>
          <t>BY CATEGORY</t>
        </is>
      </c>
    </row>
    <row r="19" ht="22" customHeight="1">
      <c r="A19" s="16" t="inlineStr">
        <is>
          <t>Short — Avg Score</t>
        </is>
      </c>
      <c r="B19" s="20">
        <f>IFERROR(AVERAGEIF('Test Results'!B3:B22,"SHORT",'Test Results'!N3:N22),"")</f>
        <v/>
      </c>
    </row>
    <row r="20" ht="22" customHeight="1">
      <c r="A20" s="14" t="inlineStr">
        <is>
          <t>Medium — Avg Score</t>
        </is>
      </c>
      <c r="B20" s="19">
        <f>IFERROR(AVERAGEIF('Test Results'!B3:B22,"MEDIUM",'Test Results'!N3:N22),"")</f>
        <v/>
      </c>
    </row>
    <row r="21" ht="22" customHeight="1">
      <c r="A21" s="16" t="inlineStr">
        <is>
          <t>Long — Avg Score</t>
        </is>
      </c>
      <c r="B21" s="20">
        <f>IFERROR(AVERAGEIF('Test Results'!B3:B22,"LONG",'Test Results'!N3:N22),"")</f>
        <v/>
      </c>
    </row>
    <row r="22" ht="22" customHeight="1">
      <c r="A22" s="14" t="inlineStr">
        <is>
          <t>Unanswerable Pass Rate</t>
        </is>
      </c>
      <c r="B22" s="21">
        <f>IFERROR(COUNTIFS('Test Results'!B3:B22,"UNANSWERABLE",'Test Results'!O3:O22,"Pass")/COUNTIF('Test Results'!B3:B22,"UNANSWERABLE"),"")</f>
        <v/>
      </c>
    </row>
  </sheetData>
  <mergeCells count="4">
    <mergeCell ref="A18:B18"/>
    <mergeCell ref="A3:B3"/>
    <mergeCell ref="A1:E1"/>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30" customWidth="1" min="1" max="1"/>
    <col width="14" customWidth="1" min="2" max="2"/>
    <col width="14" customWidth="1" min="3" max="3"/>
    <col width="30" customWidth="1" min="4" max="4"/>
  </cols>
  <sheetData>
    <row r="1" ht="36" customHeight="1">
      <c r="A1" s="12" t="inlineStr">
        <is>
          <t>Target Thresholds — Before Moving to Letter Generation Test</t>
        </is>
      </c>
    </row>
    <row r="2">
      <c r="A2" s="2" t="inlineStr">
        <is>
          <t>Metric</t>
        </is>
      </c>
      <c r="B2" s="2" t="inlineStr">
        <is>
          <t>Minimum</t>
        </is>
      </c>
      <c r="C2" s="2" t="inlineStr">
        <is>
          <t>Target</t>
        </is>
      </c>
      <c r="D2" s="2" t="inlineStr">
        <is>
          <t>Interpretation</t>
        </is>
      </c>
    </row>
    <row r="3" ht="24" customHeight="1">
      <c r="A3" s="16" t="inlineStr">
        <is>
          <t>Pass Rate</t>
        </is>
      </c>
      <c r="B3" s="22" t="inlineStr">
        <is>
          <t>≥ 65%</t>
        </is>
      </c>
      <c r="C3" s="23" t="inlineStr">
        <is>
          <t>≥ 80%</t>
        </is>
      </c>
      <c r="D3" s="16" t="inlineStr">
        <is>
          <t>Overall ability to follow grounded instructions</t>
        </is>
      </c>
    </row>
    <row r="4" ht="24" customHeight="1">
      <c r="A4" s="14" t="inlineStr">
        <is>
          <t>Avg Overall Score</t>
        </is>
      </c>
      <c r="B4" s="22" t="inlineStr">
        <is>
          <t>≥ 3.0</t>
        </is>
      </c>
      <c r="C4" s="23" t="inlineStr">
        <is>
          <t>≥ 4.0</t>
        </is>
      </c>
      <c r="D4" s="14" t="inlineStr">
        <is>
          <t>Quality of answers across short/medium/long</t>
        </is>
      </c>
    </row>
    <row r="5" ht="24" customHeight="1">
      <c r="A5" s="16" t="inlineStr">
        <is>
          <t>Refusal Rate (unans.)</t>
        </is>
      </c>
      <c r="B5" s="22" t="inlineStr">
        <is>
          <t>≥ 70%</t>
        </is>
      </c>
      <c r="C5" s="23" t="inlineStr">
        <is>
          <t>≥ 85%</t>
        </is>
      </c>
      <c r="D5" s="16" t="inlineStr">
        <is>
          <t>Model refuses when answer is not in context</t>
        </is>
      </c>
    </row>
    <row r="6" ht="24" customHeight="1">
      <c r="A6" s="14" t="inlineStr">
        <is>
          <t>Hallucination Rate</t>
        </is>
      </c>
      <c r="B6" s="22" t="inlineStr">
        <is>
          <t>&lt; 20%</t>
        </is>
      </c>
      <c r="C6" s="23" t="inlineStr">
        <is>
          <t>&lt; 10%</t>
        </is>
      </c>
      <c r="D6" s="14" t="inlineStr">
        <is>
          <t>Model invents answers — critical failure signal</t>
        </is>
      </c>
    </row>
    <row r="7" ht="24" customHeight="1">
      <c r="A7" s="16" t="inlineStr">
        <is>
          <t>High Risk Count</t>
        </is>
      </c>
      <c r="B7" s="22" t="inlineStr">
        <is>
          <t>≤ 2</t>
        </is>
      </c>
      <c r="C7" s="23" t="inlineStr">
        <is>
          <t>0</t>
        </is>
      </c>
      <c r="D7" s="16" t="inlineStr">
        <is>
          <t>Any high-risk response needs prompt investigation</t>
        </is>
      </c>
    </row>
    <row r="8" ht="24" customHeight="1">
      <c r="A8" s="14" t="inlineStr">
        <is>
          <t>Avg Factual Accuracy</t>
        </is>
      </c>
      <c r="B8" s="22" t="inlineStr">
        <is>
          <t>≥ 3.0</t>
        </is>
      </c>
      <c r="C8" s="23" t="inlineStr">
        <is>
          <t>≥ 4.0</t>
        </is>
      </c>
      <c r="D8" s="14" t="inlineStr">
        <is>
          <t>Correctness of extracted answers vs ground truth</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2026-05-21T00:57:17Z</dcterms:created>
  <dcterms:modified xmlns:dcterms="http://purl.org/dc/terms/" xmlns:xsi="http://www.w3.org/2001/XMLSchema-instance" xsi:type="dcterms:W3CDTF">2026-05-21T00:57:17Z</dcterms:modified>
</cp:coreProperties>
</file>