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1-Smoke" sheetId="2" state="visible" r:id="rId4"/>
    <sheet name="Test2-Semantic" sheetId="3" state="visible" r:id="rId5"/>
    <sheet name="Test3-Hybrid" sheetId="4" state="visible" r:id="rId6"/>
    <sheet name="Test4-Negative" sheetId="5" state="visible" r:id="rId7"/>
    <sheet name="Test5-ChunkQual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<sst xmlns="http://schemas.openxmlformats.org/spreadsheetml/2006/main" count="176" uniqueCount="114">
  <si>
    <t xml:space="preserve">KB Retrieval — All Tests Summary &amp; Gate</t>
  </si>
  <si>
    <t xml:space="preserve">TEST RESULTS OVERVIEW</t>
  </si>
  <si>
    <t xml:space="preserve">Test</t>
  </si>
  <si>
    <t xml:space="preserve">Purpose</t>
  </si>
  <si>
    <t xml:space="preserve">Queries Run</t>
  </si>
  <si>
    <t xml:space="preserve">Top Score</t>
  </si>
  <si>
    <t xml:space="preserve">Pass / Fail</t>
  </si>
  <si>
    <t xml:space="preserve">Notes</t>
  </si>
  <si>
    <t xml:space="preserve">Test 1 — Smoke</t>
  </si>
  <si>
    <t xml:space="preserve">Basic retrieval, keyword-aligned query</t>
  </si>
  <si>
    <t xml:space="preserve">Test 2 — Semantic</t>
  </si>
  <si>
    <t xml:space="preserve">Paraphrased query, no exact keyword match</t>
  </si>
  <si>
    <t xml:space="preserve">Test 3 — Hybrid</t>
  </si>
  <si>
    <t xml:space="preserve">Specific term / proper noun retrieval</t>
  </si>
  <si>
    <t xml:space="preserve">Test 4 — Negative</t>
  </si>
  <si>
    <t xml:space="preserve">Out-of-scope query, no false positives</t>
  </si>
  <si>
    <t xml:space="preserve">Test 5 — Chunk Quality</t>
  </si>
  <si>
    <t xml:space="preserve">Raw chunk completeness &amp; metadata accuracy</t>
  </si>
  <si>
    <t xml:space="preserve">—</t>
  </si>
  <si>
    <t xml:space="preserve">GATE DECISION — All 5 must pass before Agent testing</t>
  </si>
  <si>
    <t xml:space="preserve">Gate Status</t>
  </si>
  <si>
    <t xml:space="preserve">Test 1 — Basic Retrieval (Smoke Test)</t>
  </si>
  <si>
    <t xml:space="preserve">PURPOSE</t>
  </si>
  <si>
    <t xml:space="preserve">Confirm the sync worked and content from the uploaded document is retrievable using a closely-mirrored query.</t>
  </si>
  <si>
    <t xml:space="preserve">PREP — Fill in before running</t>
  </si>
  <si>
    <t xml:space="preserve">Field</t>
  </si>
  <si>
    <t xml:space="preserve">Your Entry</t>
  </si>
  <si>
    <t xml:space="preserve">Document uploaded</t>
  </si>
  <si>
    <t xml:space="preserve">Filename + extension e.g. policy_v1.pdf</t>
  </si>
  <si>
    <t xml:space="preserve">Known heading or phrase from doc</t>
  </si>
  <si>
    <t xml:space="preserve">Copy exact text e.g. "Review Criteria"</t>
  </si>
  <si>
    <t xml:space="preserve">Query you will run (close mirror)</t>
  </si>
  <si>
    <t xml:space="preserve">Rephrase slightly e.g. "What are the review criteria?"</t>
  </si>
  <si>
    <t xml:space="preserve">⚠  Write down the exact phrase from the document BEFORE querying — otherwise you will unconsciously adjust the query until it works, which defeats the smoke test.</t>
  </si>
  <si>
    <t xml:space="preserve">RESULTS LOG — Fill in after running</t>
  </si>
  <si>
    <t xml:space="preserve">Pass Threshold</t>
  </si>
  <si>
    <t xml:space="preserve">Auto Check</t>
  </si>
  <si>
    <t xml:space="preserve">Query used</t>
  </si>
  <si>
    <t xml:space="preserve">Number of results returned</t>
  </si>
  <si>
    <t xml:space="preserve">≥ 1</t>
  </si>
  <si>
    <t xml:space="preserve">Top relevance score</t>
  </si>
  <si>
    <t xml:space="preserve">&gt; 0.5</t>
  </si>
  <si>
    <t xml:space="preserve">Source shown (filename / S3 path)</t>
  </si>
  <si>
    <t xml:space="preserve">Matches uploaded doc</t>
  </si>
  <si>
    <t xml:space="preserve">Verify manually</t>
  </si>
  <si>
    <t xml:space="preserve">Chunk preview — first 20 words</t>
  </si>
  <si>
    <t xml:space="preserve">Paste from KB test panel</t>
  </si>
  <si>
    <t xml:space="preserve">Overall Result</t>
  </si>
  <si>
    <t xml:space="preserve">Test 2 — Semantic Retrieval</t>
  </si>
  <si>
    <t xml:space="preserve">Confirm embeddings are working by querying with different wording from what's in the document. No exact keyword overlap — must rely on vector similarity.</t>
  </si>
  <si>
    <t xml:space="preserve">Key concept from document</t>
  </si>
  <si>
    <t xml:space="preserve">The topic you want to test e.g. 'review checklist'</t>
  </si>
  <si>
    <t xml:space="preserve">Exact phrase as it appears in doc</t>
  </si>
  <si>
    <t xml:space="preserve">e.g. "review checklist"</t>
  </si>
  <si>
    <t xml:space="preserve">Paraphrased query (no shared keywords)</t>
  </si>
  <si>
    <t xml:space="preserve">e.g. "What steps should be followed when evaluating a submission?"</t>
  </si>
  <si>
    <t xml:space="preserve">⚠  The query must share no significant keywords with the document text — if it does, you are testing keyword matching, not semantic retrieval.</t>
  </si>
  <si>
    <t xml:space="preserve">Query used (paraphrased)</t>
  </si>
  <si>
    <t xml:space="preserve">Result semantically related to concept?</t>
  </si>
  <si>
    <t xml:space="preserve">Yes — manual check</t>
  </si>
  <si>
    <t xml:space="preserve">Score vs Test 1 (no major drop-off?)</t>
  </si>
  <si>
    <t xml:space="preserve">Within ~0.2 of Test 1</t>
  </si>
  <si>
    <t xml:space="preserve">Test 3 — Hybrid Search Validation</t>
  </si>
  <si>
    <t xml:space="preserve">Confirm hybrid mode (VECTOR + KEYWORD) surfaces specific terms and proper nouns that pure semantic search might miss. KB is configured with overrideSearchType: HYBRID.</t>
  </si>
  <si>
    <t xml:space="preserve">Specific term / acronym / proper noun in doc</t>
  </si>
  <si>
    <t xml:space="preserve">Must be a literal string e.g. 'HIPAA', 'SOC2', a system name</t>
  </si>
  <si>
    <t xml:space="preserve">Query you will run</t>
  </si>
  <si>
    <t xml:space="preserve">e.g. "What does HIPAA refer to?" or just the term itself</t>
  </si>
  <si>
    <t xml:space="preserve">⚠  The whole point of hybrid mode is catching exact-match terms that pure vector search might score too low. If this test fails, the keyword component may not be active.</t>
  </si>
  <si>
    <t xml:space="preserve">Exact term found in returned chunk?</t>
  </si>
  <si>
    <t xml:space="preserve">Yes — literal match</t>
  </si>
  <si>
    <t xml:space="preserve">Result is not just a semantic approximation?</t>
  </si>
  <si>
    <t xml:space="preserve">Test 4 — Negative Test (Hallucination Boundary)</t>
  </si>
  <si>
    <t xml:space="preserve">Confirm the KB does not over-retrieve on out-of-scope queries. No results or very low scores expected. This validates the KB will not feed irrelevant content to the Agent.</t>
  </si>
  <si>
    <t xml:space="preserve">Out-of-scope query (topic NOT in document)</t>
  </si>
  <si>
    <t xml:space="preserve">e.g. "What is the AWS Lambda pricing for us-east-1?" — something completely unrelated to your doc</t>
  </si>
  <si>
    <t xml:space="preserve">⚠  Choose a query that is clearly unrelated to your document content. Avoid anything that could be loosely related — you need a clean negative signal.</t>
  </si>
  <si>
    <t xml:space="preserve">0 preferred</t>
  </si>
  <si>
    <t xml:space="preserve">Top relevance score (if any result)</t>
  </si>
  <si>
    <t xml:space="preserve">&lt; 0.3</t>
  </si>
  <si>
    <t xml:space="preserve">Could any result mislead the Agent?</t>
  </si>
  <si>
    <t xml:space="preserve">No</t>
  </si>
  <si>
    <t xml:space="preserve">Test 5 — Chunk Quality Inspection</t>
  </si>
  <si>
    <t xml:space="preserve">Manually inspect the raw chunk returned in Test 1 to assess chunking quality. Poor chunking (truncated sentences, oversized chunks) degrades Agent answer quality downstream.</t>
  </si>
  <si>
    <t xml:space="preserve">HOW TO GET THE RAW CHUNK</t>
  </si>
  <si>
    <t xml:space="preserve">In the KB test panel: run the Test 1 query → expand the result → copy the full chunk text into the cell below.</t>
  </si>
  <si>
    <t xml:space="preserve">Raw chunk text (paste here)</t>
  </si>
  <si>
    <t xml:space="preserve">CHECKLIST — Mark ✅ PASS or ❌ FAIL in column D</t>
  </si>
  <si>
    <t xml:space="preserve">Check</t>
  </si>
  <si>
    <t xml:space="preserve">What to look for</t>
  </si>
  <si>
    <t xml:space="preserve">Chunk is not truncated mid-sentence</t>
  </si>
  <si>
    <t xml:space="preserve">Read the start and end of the chunk — both should be complete sentences.</t>
  </si>
  <si>
    <t xml:space="preserve">If it ends with '...' or cuts off mid-word: FAIL</t>
  </si>
  <si>
    <t xml:space="preserve">Chunk contains a coherent single topic</t>
  </si>
  <si>
    <t xml:space="preserve">The chunk should cover one concept, not jump between unrelated sections.</t>
  </si>
  <si>
    <t xml:space="preserve">Oversized chunks that cover multiple topics reduce retrieval precision</t>
  </si>
  <si>
    <t xml:space="preserve">Chunk is not too large (bloated)</t>
  </si>
  <si>
    <t xml:space="preserve">Rough guide: &lt; 500 words. If much larger, fixed-size chunking may need tuning.</t>
  </si>
  <si>
    <t xml:space="preserve">Log word count if over 500</t>
  </si>
  <si>
    <t xml:space="preserve">Metadata — document title is correct</t>
  </si>
  <si>
    <t xml:space="preserve">Source attribution should show the correct document name.</t>
  </si>
  <si>
    <t xml:space="preserve">Metadata — S3 path or source URL is correct</t>
  </si>
  <si>
    <t xml:space="preserve">Check the source URI shown in the KB result matches your upload.</t>
  </si>
  <si>
    <t xml:space="preserve">⚠  If chunks look poor (truncated, too large, wrong metadata): raise a follow-up task to adjust chunking strategy from fixed-size to semantic before Agent testing.</t>
  </si>
  <si>
    <t xml:space="preserve">CHUNKING FOLLOW-UP (only if chunks fail)</t>
  </si>
  <si>
    <t xml:space="preserve">Issue Observed</t>
  </si>
  <si>
    <t xml:space="preserve">Recommended Action</t>
  </si>
  <si>
    <t xml:space="preserve">Ticket Raised?</t>
  </si>
  <si>
    <t xml:space="preserve">Truncated mid-sentence</t>
  </si>
  <si>
    <t xml:space="preserve">Switch to semantic chunking in KB settings</t>
  </si>
  <si>
    <t xml:space="preserve">Chunk too large / multiple topics</t>
  </si>
  <si>
    <t xml:space="preserve">Reduce max chunk size (default 300 tokens → try 150)</t>
  </si>
  <si>
    <t xml:space="preserve">Wrong metadata</t>
  </si>
  <si>
    <t xml:space="preserve">Re-sync the KB and check data source config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</si>
</sst>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4" hidden="false" customHeight="true" outlineLevel="0" collapsed="false">
      <c r="A5" s="4" t="s">
        <v>8</v>
      </c>
      <c r="B5" s="4" t="s">
        <v>9</v>
      </c>
      <c r="C5" s="5" t="n">
        <f aca="false">'Test1-Smoke'!B6</f>
        <v>0</v>
      </c>
      <c r="D5" s="6" t="n">
        <f aca="false">'Test1-Smoke'!B8</f>
        <v>0</v>
      </c>
      <c r="E5" s="7" t="n">
        <f aca="false">'Test1-Smoke'!E14</f>
        <v>0</v>
      </c>
      <c r="F5" s="8"/>
    </row>
    <row r="6" customFormat="false" ht="24" hidden="false" customHeight="true" outlineLevel="0" collapsed="false">
      <c r="A6" s="4" t="s">
        <v>10</v>
      </c>
      <c r="B6" s="4" t="s">
        <v>11</v>
      </c>
      <c r="C6" s="5" t="n">
        <f aca="false">'Test2-Semantic'!B6</f>
        <v>0</v>
      </c>
      <c r="D6" s="6" t="n">
        <f aca="false">'Test2-Semantic'!B8</f>
        <v>0</v>
      </c>
      <c r="E6" s="7" t="n">
        <f aca="false">'Test2-Semantic'!E13</f>
        <v>0</v>
      </c>
      <c r="F6" s="8"/>
    </row>
    <row r="7" customFormat="false" ht="24" hidden="false" customHeight="true" outlineLevel="0" collapsed="false">
      <c r="A7" s="4" t="s">
        <v>12</v>
      </c>
      <c r="B7" s="4" t="s">
        <v>13</v>
      </c>
      <c r="C7" s="5" t="n">
        <f aca="false">'Test3-Hybrid'!B6</f>
        <v>0</v>
      </c>
      <c r="D7" s="6" t="n">
        <f aca="false">'Test3-Hybrid'!B8</f>
        <v>0</v>
      </c>
      <c r="E7" s="7" t="n">
        <f aca="false">'Test3-Hybrid'!E12</f>
        <v>0</v>
      </c>
      <c r="F7" s="8"/>
    </row>
    <row r="8" customFormat="false" ht="24" hidden="false" customHeight="true" outlineLevel="0" collapsed="false">
      <c r="A8" s="4" t="s">
        <v>14</v>
      </c>
      <c r="B8" s="4" t="s">
        <v>15</v>
      </c>
      <c r="C8" s="5" t="n">
        <f aca="false">'Test4-Negative'!B5</f>
        <v>0</v>
      </c>
      <c r="D8" s="6" t="str">
        <f aca="false">'Test4-Negative'!B7</f>
        <v>Your Entry</v>
      </c>
      <c r="E8" s="7" t="n">
        <f aca="false">'Test4-Negative'!E11</f>
        <v>0</v>
      </c>
      <c r="F8" s="8"/>
    </row>
    <row r="9" customFormat="false" ht="24" hidden="false" customHeight="true" outlineLevel="0" collapsed="false">
      <c r="A9" s="4" t="s">
        <v>16</v>
      </c>
      <c r="B9" s="4" t="s">
        <v>17</v>
      </c>
      <c r="C9" s="5" t="s">
        <v>18</v>
      </c>
      <c r="D9" s="6" t="s">
        <v>18</v>
      </c>
      <c r="E9" s="7" t="n">
        <f aca="false">'Test5-ChunkQuality'!E14</f>
        <v>0</v>
      </c>
      <c r="F9" s="8"/>
    </row>
    <row r="11" customFormat="false" ht="21.75" hidden="false" customHeight="true" outlineLevel="0" collapsed="false">
      <c r="A11" s="2" t="s">
        <v>19</v>
      </c>
      <c r="B11" s="2"/>
      <c r="C11" s="2"/>
      <c r="D11" s="2"/>
      <c r="E11" s="2"/>
      <c r="F11" s="2"/>
    </row>
    <row r="12" customFormat="false" ht="30" hidden="false" customHeight="true" outlineLevel="0" collapsed="false">
      <c r="A12" s="9" t="s">
        <v>20</v>
      </c>
      <c r="B12" s="10" t="str">
        <f aca="false">IF(AND(ISNUMBER(SEARCH("PASS",E5)),ISNUMBER(SEARCH("PASS",E6)),ISNUMBER(SEARCH("PASS",E7)),ISNUMBER(SEARCH("PASS",E8)),ISNUMBER(SEARCH("PASS",E9))),"✅ ALL TESTS PASS — proceed to Agent testing","❌ NOT ALL TESTS PASS — resolve failures before proceeding")</f>
        <v>❌ NOT ALL TESTS PASS — resolve failures before proceeding</v>
      </c>
      <c r="C12" s="10"/>
      <c r="D12" s="10"/>
      <c r="E12" s="10"/>
      <c r="F12" s="10"/>
    </row>
  </sheetData>
  <mergeCells count="4">
    <mergeCell ref="A1:F1"/>
    <mergeCell ref="A3:F3"/>
    <mergeCell ref="A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6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0" collapsed="false">
      <c r="A4" s="11" t="s">
        <v>23</v>
      </c>
      <c r="B4" s="11"/>
      <c r="C4" s="11"/>
      <c r="D4" s="11"/>
      <c r="E4" s="11"/>
    </row>
    <row r="6" customFormat="false" ht="21.75" hidden="false" customHeight="true" outlineLevel="0" collapsed="false">
      <c r="A6" s="2" t="s">
        <v>24</v>
      </c>
      <c r="B6" s="2"/>
      <c r="C6" s="2"/>
      <c r="D6" s="2"/>
      <c r="E6" s="2"/>
    </row>
    <row r="7" customFormat="false" ht="21.75" hidden="false" customHeight="true" outlineLevel="0" collapsed="false">
      <c r="A7" s="3" t="s">
        <v>25</v>
      </c>
      <c r="B7" s="3" t="s">
        <v>26</v>
      </c>
      <c r="C7" s="3" t="s">
        <v>7</v>
      </c>
      <c r="D7" s="3"/>
      <c r="E7" s="3"/>
    </row>
    <row r="8" customFormat="false" ht="24" hidden="false" customHeight="true" outlineLevel="0" collapsed="false">
      <c r="A8" s="9" t="s">
        <v>27</v>
      </c>
      <c r="B8" s="8"/>
      <c r="C8" s="12" t="s">
        <v>28</v>
      </c>
      <c r="D8" s="12"/>
      <c r="E8" s="12"/>
    </row>
    <row r="9" customFormat="false" ht="24" hidden="false" customHeight="true" outlineLevel="0" collapsed="false">
      <c r="A9" s="9" t="s">
        <v>29</v>
      </c>
      <c r="B9" s="8"/>
      <c r="C9" s="12" t="s">
        <v>30</v>
      </c>
      <c r="D9" s="12"/>
      <c r="E9" s="12"/>
    </row>
    <row r="10" customFormat="false" ht="24" hidden="false" customHeight="true" outlineLevel="0" collapsed="false">
      <c r="A10" s="9" t="s">
        <v>31</v>
      </c>
      <c r="B10" s="8"/>
      <c r="C10" s="12" t="s">
        <v>32</v>
      </c>
      <c r="D10" s="12"/>
      <c r="E10" s="12"/>
    </row>
    <row r="12" customFormat="false" ht="39.75" hidden="false" customHeight="true" outlineLevel="0" collapsed="false">
      <c r="A12" s="13" t="s">
        <v>33</v>
      </c>
      <c r="B12" s="13"/>
      <c r="C12" s="13"/>
      <c r="D12" s="13"/>
      <c r="E12" s="13"/>
    </row>
    <row r="14" customFormat="false" ht="21.75" hidden="false" customHeight="true" outlineLevel="0" collapsed="false">
      <c r="A14" s="2" t="s">
        <v>34</v>
      </c>
      <c r="B14" s="2"/>
      <c r="C14" s="2"/>
      <c r="D14" s="2"/>
      <c r="E14" s="2"/>
    </row>
    <row r="15" customFormat="false" ht="21.75" hidden="false" customHeight="true" outlineLevel="0" collapsed="false">
      <c r="A15" s="3" t="s">
        <v>25</v>
      </c>
      <c r="B15" s="3" t="s">
        <v>26</v>
      </c>
      <c r="C15" s="3" t="s">
        <v>35</v>
      </c>
      <c r="D15" s="3" t="s">
        <v>36</v>
      </c>
      <c r="E15" s="3" t="s">
        <v>7</v>
      </c>
    </row>
    <row r="16" customFormat="false" ht="24" hidden="false" customHeight="true" outlineLevel="0" collapsed="false">
      <c r="A16" s="9" t="s">
        <v>37</v>
      </c>
      <c r="B16" s="8"/>
      <c r="C16" s="14" t="s">
        <v>18</v>
      </c>
      <c r="D16" s="15"/>
      <c r="E16" s="16"/>
    </row>
    <row r="17" customFormat="false" ht="24" hidden="false" customHeight="true" outlineLevel="0" collapsed="false">
      <c r="A17" s="9" t="s">
        <v>38</v>
      </c>
      <c r="B17" s="8"/>
      <c r="C17" s="14" t="s">
        <v>39</v>
      </c>
      <c r="D17" s="7" t="str">
        <f aca="false">IF(AND(ISNUMBER(B17),B17&gt;=1),"✅ PASS","❌ FAIL")</f>
        <v>❌ FAIL</v>
      </c>
      <c r="E17" s="16"/>
    </row>
    <row r="18" customFormat="false" ht="24" hidden="false" customHeight="true" outlineLevel="0" collapsed="false">
      <c r="A18" s="9" t="s">
        <v>40</v>
      </c>
      <c r="B18" s="8"/>
      <c r="C18" s="14" t="s">
        <v>41</v>
      </c>
      <c r="D18" s="7" t="str">
        <f aca="false">IF(AND(ISNUMBER(B18),B18&gt;0.5),"✅ PASS","❌ FAIL")</f>
        <v>❌ FAIL</v>
      </c>
      <c r="E18" s="16"/>
    </row>
    <row r="19" customFormat="false" ht="24" hidden="false" customHeight="true" outlineLevel="0" collapsed="false">
      <c r="A19" s="9" t="s">
        <v>42</v>
      </c>
      <c r="B19" s="8"/>
      <c r="C19" s="14" t="s">
        <v>43</v>
      </c>
      <c r="D19" s="15"/>
      <c r="E19" s="16" t="s">
        <v>44</v>
      </c>
    </row>
    <row r="20" customFormat="false" ht="24" hidden="false" customHeight="true" outlineLevel="0" collapsed="false">
      <c r="A20" s="9" t="s">
        <v>45</v>
      </c>
      <c r="B20" s="8"/>
      <c r="C20" s="14" t="s">
        <v>18</v>
      </c>
      <c r="D20" s="15"/>
      <c r="E20" s="16" t="s">
        <v>46</v>
      </c>
    </row>
    <row r="22" customFormat="false" ht="30" hidden="false" customHeight="true" outlineLevel="0" collapsed="false">
      <c r="A22" s="9" t="s">
        <v>47</v>
      </c>
      <c r="B22" s="17" t="str">
        <f aca="false">IF(AND(D17="✅ PASS",D18="✅ PASS",D19="✅ PASS"),"✅ ALL PASS — proceed to Test 2","❌ FAIL — investigate before proceeding")</f>
        <v>❌ FAIL — investigate before proceeding</v>
      </c>
      <c r="C22" s="17"/>
      <c r="D22" s="17"/>
      <c r="E22" s="17"/>
    </row>
  </sheetData>
  <mergeCells count="11">
    <mergeCell ref="A1:E1"/>
    <mergeCell ref="A3:E3"/>
    <mergeCell ref="A4:E4"/>
    <mergeCell ref="A6:E6"/>
    <mergeCell ref="C7:E7"/>
    <mergeCell ref="C8:E8"/>
    <mergeCell ref="C9:E9"/>
    <mergeCell ref="C10:E10"/>
    <mergeCell ref="A12:E12"/>
    <mergeCell ref="A14:E14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0" collapsed="false">
      <c r="A4" s="11" t="s">
        <v>49</v>
      </c>
      <c r="B4" s="11"/>
      <c r="C4" s="11"/>
      <c r="D4" s="11"/>
      <c r="E4" s="11"/>
    </row>
    <row r="6" customFormat="false" ht="21.75" hidden="false" customHeight="true" outlineLevel="0" collapsed="false">
      <c r="A6" s="2" t="s">
        <v>24</v>
      </c>
      <c r="B6" s="2"/>
      <c r="C6" s="2"/>
      <c r="D6" s="2"/>
      <c r="E6" s="2"/>
    </row>
    <row r="7" customFormat="false" ht="21.75" hidden="false" customHeight="true" outlineLevel="0" collapsed="false">
      <c r="A7" s="3" t="s">
        <v>25</v>
      </c>
      <c r="B7" s="3" t="s">
        <v>26</v>
      </c>
      <c r="C7" s="3" t="s">
        <v>7</v>
      </c>
      <c r="D7" s="3"/>
      <c r="E7" s="3"/>
    </row>
    <row r="8" customFormat="false" ht="24" hidden="false" customHeight="true" outlineLevel="0" collapsed="false">
      <c r="A8" s="9" t="s">
        <v>50</v>
      </c>
      <c r="B8" s="8"/>
      <c r="C8" s="12" t="s">
        <v>51</v>
      </c>
      <c r="D8" s="12"/>
      <c r="E8" s="12"/>
    </row>
    <row r="9" customFormat="false" ht="24" hidden="false" customHeight="true" outlineLevel="0" collapsed="false">
      <c r="A9" s="9" t="s">
        <v>52</v>
      </c>
      <c r="B9" s="8"/>
      <c r="C9" s="12" t="s">
        <v>53</v>
      </c>
      <c r="D9" s="12"/>
      <c r="E9" s="12"/>
    </row>
    <row r="10" customFormat="false" ht="24" hidden="false" customHeight="true" outlineLevel="0" collapsed="false">
      <c r="A10" s="9" t="s">
        <v>54</v>
      </c>
      <c r="B10" s="8"/>
      <c r="C10" s="12" t="s">
        <v>55</v>
      </c>
      <c r="D10" s="12"/>
      <c r="E10" s="12"/>
    </row>
    <row r="12" customFormat="false" ht="39.75" hidden="false" customHeight="true" outlineLevel="0" collapsed="false">
      <c r="A12" s="13" t="s">
        <v>56</v>
      </c>
      <c r="B12" s="13"/>
      <c r="C12" s="13"/>
      <c r="D12" s="13"/>
      <c r="E12" s="13"/>
    </row>
    <row r="14" customFormat="false" ht="21.75" hidden="false" customHeight="true" outlineLevel="0" collapsed="false">
      <c r="A14" s="2" t="s">
        <v>34</v>
      </c>
      <c r="B14" s="2"/>
      <c r="C14" s="2"/>
      <c r="D14" s="2"/>
      <c r="E14" s="2"/>
    </row>
    <row r="15" customFormat="false" ht="21.75" hidden="false" customHeight="true" outlineLevel="0" collapsed="false">
      <c r="A15" s="3" t="s">
        <v>25</v>
      </c>
      <c r="B15" s="3" t="s">
        <v>26</v>
      </c>
      <c r="C15" s="3" t="s">
        <v>35</v>
      </c>
      <c r="D15" s="3" t="s">
        <v>36</v>
      </c>
      <c r="E15" s="3" t="s">
        <v>7</v>
      </c>
    </row>
    <row r="16" customFormat="false" ht="24" hidden="false" customHeight="true" outlineLevel="0" collapsed="false">
      <c r="A16" s="9" t="s">
        <v>57</v>
      </c>
      <c r="B16" s="8"/>
      <c r="C16" s="14" t="s">
        <v>18</v>
      </c>
      <c r="D16" s="15"/>
    </row>
    <row r="17" customFormat="false" ht="24" hidden="false" customHeight="true" outlineLevel="0" collapsed="false">
      <c r="A17" s="9" t="s">
        <v>38</v>
      </c>
      <c r="B17" s="8"/>
      <c r="C17" s="14" t="s">
        <v>39</v>
      </c>
      <c r="D17" s="7" t="str">
        <f aca="false">IF(AND(ISNUMBER(B17),B17&gt;=1),"✅ PASS","❌ FAIL")</f>
        <v>❌ FAIL</v>
      </c>
    </row>
    <row r="18" customFormat="false" ht="24" hidden="false" customHeight="true" outlineLevel="0" collapsed="false">
      <c r="A18" s="9" t="s">
        <v>40</v>
      </c>
      <c r="B18" s="8"/>
      <c r="C18" s="14" t="s">
        <v>41</v>
      </c>
      <c r="D18" s="7" t="str">
        <f aca="false">IF(AND(ISNUMBER(B18),B18&gt;0.5),"✅ PASS","❌ FAIL")</f>
        <v>❌ FAIL</v>
      </c>
    </row>
    <row r="19" customFormat="false" ht="24" hidden="false" customHeight="true" outlineLevel="0" collapsed="false">
      <c r="A19" s="9" t="s">
        <v>58</v>
      </c>
      <c r="B19" s="8"/>
      <c r="C19" s="14" t="s">
        <v>59</v>
      </c>
      <c r="D19" s="15"/>
    </row>
    <row r="20" customFormat="false" ht="24" hidden="false" customHeight="true" outlineLevel="0" collapsed="false">
      <c r="A20" s="9" t="s">
        <v>60</v>
      </c>
      <c r="B20" s="8"/>
      <c r="C20" s="14" t="s">
        <v>61</v>
      </c>
      <c r="D20" s="15"/>
    </row>
    <row r="22" customFormat="false" ht="30" hidden="false" customHeight="true" outlineLevel="0" collapsed="false">
      <c r="A22" s="9" t="s">
        <v>47</v>
      </c>
      <c r="B22" s="17" t="str">
        <f aca="false">IF(AND(D17="✅ PASS",D18="✅ PASS",D19="✅ PASS",D20="✅ PASS"),"✅ ALL PASS — proceed to Test 3","❌ FAIL — check embedding quality")</f>
        <v>❌ FAIL — check embedding quality</v>
      </c>
      <c r="C22" s="17"/>
      <c r="D22" s="17"/>
      <c r="E22" s="17"/>
    </row>
  </sheetData>
  <mergeCells count="11">
    <mergeCell ref="A1:E1"/>
    <mergeCell ref="A3:E3"/>
    <mergeCell ref="A4:E4"/>
    <mergeCell ref="A6:E6"/>
    <mergeCell ref="C7:E7"/>
    <mergeCell ref="C8:E8"/>
    <mergeCell ref="C9:E9"/>
    <mergeCell ref="C10:E10"/>
    <mergeCell ref="A12:E12"/>
    <mergeCell ref="A14:E14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0" collapsed="false">
      <c r="A4" s="11" t="s">
        <v>63</v>
      </c>
      <c r="B4" s="11"/>
      <c r="C4" s="11"/>
      <c r="D4" s="11"/>
      <c r="E4" s="11"/>
    </row>
    <row r="6" customFormat="false" ht="21.75" hidden="false" customHeight="true" outlineLevel="0" collapsed="false">
      <c r="A6" s="2" t="s">
        <v>24</v>
      </c>
      <c r="B6" s="2"/>
      <c r="C6" s="2"/>
      <c r="D6" s="2"/>
      <c r="E6" s="2"/>
    </row>
    <row r="7" customFormat="false" ht="21.75" hidden="false" customHeight="true" outlineLevel="0" collapsed="false">
      <c r="A7" s="3" t="s">
        <v>25</v>
      </c>
      <c r="B7" s="3" t="s">
        <v>26</v>
      </c>
      <c r="C7" s="3" t="s">
        <v>7</v>
      </c>
      <c r="D7" s="3"/>
      <c r="E7" s="3"/>
    </row>
    <row r="8" customFormat="false" ht="24" hidden="false" customHeight="true" outlineLevel="0" collapsed="false">
      <c r="A8" s="9" t="s">
        <v>64</v>
      </c>
      <c r="B8" s="8"/>
      <c r="C8" s="12" t="s">
        <v>65</v>
      </c>
      <c r="D8" s="12"/>
      <c r="E8" s="12"/>
    </row>
    <row r="9" customFormat="false" ht="24" hidden="false" customHeight="true" outlineLevel="0" collapsed="false">
      <c r="A9" s="9" t="s">
        <v>66</v>
      </c>
      <c r="B9" s="8"/>
      <c r="C9" s="12" t="s">
        <v>67</v>
      </c>
      <c r="D9" s="12"/>
      <c r="E9" s="12"/>
    </row>
    <row r="11" customFormat="false" ht="39.75" hidden="false" customHeight="true" outlineLevel="0" collapsed="false">
      <c r="A11" s="13" t="s">
        <v>68</v>
      </c>
      <c r="B11" s="13"/>
      <c r="C11" s="13"/>
      <c r="D11" s="13"/>
      <c r="E11" s="13"/>
    </row>
    <row r="13" customFormat="false" ht="21.75" hidden="false" customHeight="true" outlineLevel="0" collapsed="false">
      <c r="A13" s="2" t="s">
        <v>34</v>
      </c>
      <c r="B13" s="2"/>
      <c r="C13" s="2"/>
      <c r="D13" s="2"/>
      <c r="E13" s="2"/>
    </row>
    <row r="14" customFormat="false" ht="21.75" hidden="false" customHeight="true" outlineLevel="0" collapsed="false">
      <c r="A14" s="3" t="s">
        <v>25</v>
      </c>
      <c r="B14" s="3" t="s">
        <v>26</v>
      </c>
      <c r="C14" s="3" t="s">
        <v>35</v>
      </c>
      <c r="D14" s="3" t="s">
        <v>36</v>
      </c>
      <c r="E14" s="3" t="s">
        <v>7</v>
      </c>
    </row>
    <row r="15" customFormat="false" ht="24" hidden="false" customHeight="true" outlineLevel="0" collapsed="false">
      <c r="A15" s="9" t="s">
        <v>37</v>
      </c>
      <c r="B15" s="8"/>
      <c r="C15" s="14" t="s">
        <v>18</v>
      </c>
      <c r="D15" s="15"/>
    </row>
    <row r="16" customFormat="false" ht="24" hidden="false" customHeight="true" outlineLevel="0" collapsed="false">
      <c r="A16" s="9" t="s">
        <v>38</v>
      </c>
      <c r="B16" s="8"/>
      <c r="C16" s="14" t="s">
        <v>39</v>
      </c>
      <c r="D16" s="7" t="str">
        <f aca="false">IF(AND(ISNUMBER(B16),B16&gt;=1),"✅ PASS","❌ FAIL")</f>
        <v>❌ FAIL</v>
      </c>
    </row>
    <row r="17" customFormat="false" ht="24" hidden="false" customHeight="true" outlineLevel="0" collapsed="false">
      <c r="A17" s="9" t="s">
        <v>40</v>
      </c>
      <c r="B17" s="8"/>
      <c r="C17" s="14" t="s">
        <v>41</v>
      </c>
      <c r="D17" s="7" t="str">
        <f aca="false">IF(AND(ISNUMBER(B17),B17&gt;0.5),"✅ PASS","❌ FAIL")</f>
        <v>❌ FAIL</v>
      </c>
    </row>
    <row r="18" customFormat="false" ht="24" hidden="false" customHeight="true" outlineLevel="0" collapsed="false">
      <c r="A18" s="9" t="s">
        <v>69</v>
      </c>
      <c r="B18" s="8"/>
      <c r="C18" s="14" t="s">
        <v>70</v>
      </c>
      <c r="D18" s="15"/>
    </row>
    <row r="19" customFormat="false" ht="24" hidden="false" customHeight="true" outlineLevel="0" collapsed="false">
      <c r="A19" s="9" t="s">
        <v>71</v>
      </c>
      <c r="B19" s="8"/>
      <c r="C19" s="14" t="s">
        <v>59</v>
      </c>
      <c r="D19" s="15"/>
    </row>
    <row r="21" customFormat="false" ht="30" hidden="false" customHeight="true" outlineLevel="0" collapsed="false">
      <c r="A21" s="9" t="s">
        <v>47</v>
      </c>
      <c r="B21" s="17" t="str">
        <f aca="false">IF(AND(D16="✅ PASS",D17="✅ PASS",D18="✅ PASS",D19="✅ PASS"),"✅ ALL PASS — proceed to Test 4","❌ FAIL — check hybrid config in KB")</f>
        <v>❌ FAIL — check hybrid config in KB</v>
      </c>
      <c r="C21" s="17"/>
      <c r="D21" s="17"/>
      <c r="E21" s="17"/>
    </row>
  </sheetData>
  <mergeCells count="10">
    <mergeCell ref="A1:E1"/>
    <mergeCell ref="A3:E3"/>
    <mergeCell ref="A4:E4"/>
    <mergeCell ref="A6:E6"/>
    <mergeCell ref="C7:E7"/>
    <mergeCell ref="C8:E8"/>
    <mergeCell ref="C9:E9"/>
    <mergeCell ref="A11:E11"/>
    <mergeCell ref="A13:E13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0" collapsed="false">
      <c r="A4" s="11" t="s">
        <v>73</v>
      </c>
      <c r="B4" s="11"/>
      <c r="C4" s="11"/>
      <c r="D4" s="11"/>
      <c r="E4" s="11"/>
    </row>
    <row r="6" customFormat="false" ht="21.75" hidden="false" customHeight="true" outlineLevel="0" collapsed="false">
      <c r="A6" s="2" t="s">
        <v>24</v>
      </c>
      <c r="B6" s="2"/>
      <c r="C6" s="2"/>
      <c r="D6" s="2"/>
      <c r="E6" s="2"/>
    </row>
    <row r="7" customFormat="false" ht="21.75" hidden="false" customHeight="true" outlineLevel="0" collapsed="false">
      <c r="A7" s="3" t="s">
        <v>25</v>
      </c>
      <c r="B7" s="3" t="s">
        <v>26</v>
      </c>
      <c r="C7" s="3" t="s">
        <v>7</v>
      </c>
      <c r="D7" s="3"/>
      <c r="E7" s="3"/>
    </row>
    <row r="8" customFormat="false" ht="24" hidden="false" customHeight="true" outlineLevel="0" collapsed="false">
      <c r="A8" s="9" t="s">
        <v>74</v>
      </c>
      <c r="B8" s="8"/>
      <c r="C8" s="12" t="s">
        <v>75</v>
      </c>
      <c r="D8" s="12"/>
      <c r="E8" s="12"/>
    </row>
    <row r="10" customFormat="false" ht="39.75" hidden="false" customHeight="true" outlineLevel="0" collapsed="false">
      <c r="A10" s="13" t="s">
        <v>76</v>
      </c>
      <c r="B10" s="13"/>
      <c r="C10" s="13"/>
      <c r="D10" s="13"/>
      <c r="E10" s="13"/>
    </row>
    <row r="12" customFormat="false" ht="21.75" hidden="false" customHeight="true" outlineLevel="0" collapsed="false">
      <c r="A12" s="2" t="s">
        <v>34</v>
      </c>
      <c r="B12" s="2"/>
      <c r="C12" s="2"/>
      <c r="D12" s="2"/>
      <c r="E12" s="2"/>
    </row>
    <row r="13" customFormat="false" ht="21.75" hidden="false" customHeight="true" outlineLevel="0" collapsed="false">
      <c r="A13" s="3" t="s">
        <v>25</v>
      </c>
      <c r="B13" s="3" t="s">
        <v>26</v>
      </c>
      <c r="C13" s="3" t="s">
        <v>35</v>
      </c>
      <c r="D13" s="3" t="s">
        <v>36</v>
      </c>
      <c r="E13" s="3" t="s">
        <v>7</v>
      </c>
    </row>
    <row r="14" customFormat="false" ht="24" hidden="false" customHeight="true" outlineLevel="0" collapsed="false">
      <c r="A14" s="9" t="s">
        <v>37</v>
      </c>
      <c r="B14" s="8"/>
      <c r="C14" s="14" t="s">
        <v>18</v>
      </c>
      <c r="D14" s="15"/>
    </row>
    <row r="15" customFormat="false" ht="24" hidden="false" customHeight="true" outlineLevel="0" collapsed="false">
      <c r="A15" s="9" t="s">
        <v>38</v>
      </c>
      <c r="B15" s="8"/>
      <c r="C15" s="14" t="s">
        <v>77</v>
      </c>
      <c r="D15" s="15"/>
    </row>
    <row r="16" customFormat="false" ht="24" hidden="false" customHeight="true" outlineLevel="0" collapsed="false">
      <c r="A16" s="9" t="s">
        <v>78</v>
      </c>
      <c r="B16" s="8"/>
      <c r="C16" s="14" t="s">
        <v>79</v>
      </c>
      <c r="D16" s="7" t="str">
        <f aca="false">IF(OR(B16="",AND(ISNUMBER(B16),B16&lt;0.3)),"✅ PASS","❌ FAIL")</f>
        <v>✅ PASS</v>
      </c>
    </row>
    <row r="17" customFormat="false" ht="24" hidden="false" customHeight="true" outlineLevel="0" collapsed="false">
      <c r="A17" s="9" t="s">
        <v>80</v>
      </c>
      <c r="B17" s="8"/>
      <c r="C17" s="14" t="s">
        <v>81</v>
      </c>
      <c r="D17" s="15"/>
    </row>
    <row r="19" customFormat="false" ht="30" hidden="false" customHeight="true" outlineLevel="0" collapsed="false">
      <c r="A19" s="9" t="s">
        <v>47</v>
      </c>
      <c r="B19" s="17" t="str">
        <f aca="false">IF(AND(D16="✅ PASS",D17="✅ PASS"),"✅ ALL PASS — proceed to Test 5","❌ FAIL — KB may be over-retrieving, check chunk boundaries")</f>
        <v>❌ FAIL — KB may be over-retrieving, check chunk boundaries</v>
      </c>
      <c r="C19" s="17"/>
      <c r="D19" s="17"/>
      <c r="E19" s="17"/>
    </row>
  </sheetData>
  <mergeCells count="9">
    <mergeCell ref="A1:E1"/>
    <mergeCell ref="A3:E3"/>
    <mergeCell ref="A4:E4"/>
    <mergeCell ref="A6:E6"/>
    <mergeCell ref="C7:E7"/>
    <mergeCell ref="C8:E8"/>
    <mergeCell ref="A10:E10"/>
    <mergeCell ref="A12:E12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5" min="4" style="0" width="16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22</v>
      </c>
      <c r="B3" s="2"/>
      <c r="C3" s="2"/>
      <c r="D3" s="2"/>
      <c r="E3" s="2"/>
    </row>
    <row r="4" customFormat="false" ht="15" hidden="false" customHeight="true" outlineLevel="0" collapsed="false">
      <c r="A4" s="11" t="s">
        <v>83</v>
      </c>
      <c r="B4" s="11"/>
      <c r="C4" s="11"/>
      <c r="D4" s="11"/>
      <c r="E4" s="11"/>
    </row>
    <row r="6" customFormat="false" ht="21.75" hidden="false" customHeight="true" outlineLevel="0" collapsed="false">
      <c r="A6" s="2" t="s">
        <v>84</v>
      </c>
      <c r="B6" s="2"/>
      <c r="C6" s="2"/>
      <c r="D6" s="2"/>
      <c r="E6" s="2"/>
    </row>
    <row r="7" customFormat="false" ht="15" hidden="false" customHeight="true" outlineLevel="0" collapsed="false">
      <c r="A7" s="11" t="s">
        <v>85</v>
      </c>
      <c r="B7" s="11"/>
      <c r="C7" s="11"/>
      <c r="D7" s="11"/>
      <c r="E7" s="11"/>
    </row>
    <row r="8" customFormat="false" ht="79.5" hidden="false" customHeight="true" outlineLevel="0" collapsed="false">
      <c r="A8" s="9" t="s">
        <v>86</v>
      </c>
      <c r="B8" s="18"/>
      <c r="C8" s="18"/>
      <c r="D8" s="18"/>
      <c r="E8" s="18"/>
    </row>
    <row r="10" customFormat="false" ht="21.75" hidden="false" customHeight="true" outlineLevel="0" collapsed="false">
      <c r="A10" s="2" t="s">
        <v>87</v>
      </c>
      <c r="B10" s="2"/>
      <c r="C10" s="2"/>
      <c r="D10" s="2"/>
      <c r="E10" s="2"/>
    </row>
    <row r="11" customFormat="false" ht="21.75" hidden="false" customHeight="true" outlineLevel="0" collapsed="false">
      <c r="A11" s="3" t="s">
        <v>88</v>
      </c>
      <c r="B11" s="3" t="s">
        <v>89</v>
      </c>
      <c r="C11" s="3" t="s">
        <v>7</v>
      </c>
      <c r="D11" s="3" t="s">
        <v>6</v>
      </c>
      <c r="E11" s="3"/>
    </row>
    <row r="12" customFormat="false" ht="31.5" hidden="false" customHeight="true" outlineLevel="0" collapsed="false">
      <c r="A12" s="9" t="s">
        <v>90</v>
      </c>
      <c r="B12" s="4" t="s">
        <v>91</v>
      </c>
      <c r="C12" s="16" t="s">
        <v>92</v>
      </c>
      <c r="D12" s="15"/>
      <c r="E12" s="4"/>
    </row>
    <row r="13" customFormat="false" ht="31.5" hidden="false" customHeight="true" outlineLevel="0" collapsed="false">
      <c r="A13" s="9" t="s">
        <v>93</v>
      </c>
      <c r="B13" s="4" t="s">
        <v>94</v>
      </c>
      <c r="C13" s="16" t="s">
        <v>95</v>
      </c>
      <c r="D13" s="15"/>
      <c r="E13" s="4"/>
    </row>
    <row r="14" customFormat="false" ht="31.5" hidden="false" customHeight="true" outlineLevel="0" collapsed="false">
      <c r="A14" s="9" t="s">
        <v>96</v>
      </c>
      <c r="B14" s="4" t="s">
        <v>97</v>
      </c>
      <c r="C14" s="16" t="s">
        <v>98</v>
      </c>
      <c r="D14" s="15"/>
      <c r="E14" s="4"/>
    </row>
    <row r="15" customFormat="false" ht="31.5" hidden="false" customHeight="true" outlineLevel="0" collapsed="false">
      <c r="A15" s="9" t="s">
        <v>99</v>
      </c>
      <c r="B15" s="4" t="s">
        <v>100</v>
      </c>
      <c r="C15" s="16"/>
      <c r="D15" s="15"/>
      <c r="E15" s="4"/>
    </row>
    <row r="16" customFormat="false" ht="31.5" hidden="false" customHeight="true" outlineLevel="0" collapsed="false">
      <c r="A16" s="9" t="s">
        <v>101</v>
      </c>
      <c r="B16" s="4" t="s">
        <v>102</v>
      </c>
      <c r="C16" s="16"/>
      <c r="D16" s="15"/>
      <c r="E16" s="4"/>
    </row>
    <row r="18" customFormat="false" ht="39.75" hidden="false" customHeight="true" outlineLevel="0" collapsed="false">
      <c r="A18" s="13" t="s">
        <v>103</v>
      </c>
      <c r="B18" s="13"/>
      <c r="C18" s="13"/>
      <c r="D18" s="13"/>
      <c r="E18" s="13"/>
    </row>
    <row r="20" customFormat="false" ht="21.75" hidden="false" customHeight="true" outlineLevel="0" collapsed="false">
      <c r="A20" s="2" t="s">
        <v>104</v>
      </c>
      <c r="B20" s="2"/>
      <c r="C20" s="2"/>
      <c r="D20" s="2"/>
      <c r="E20" s="2"/>
    </row>
    <row r="21" customFormat="false" ht="21.75" hidden="false" customHeight="true" outlineLevel="0" collapsed="false">
      <c r="A21" s="3" t="s">
        <v>105</v>
      </c>
      <c r="B21" s="3" t="s">
        <v>106</v>
      </c>
      <c r="C21" s="3" t="s">
        <v>107</v>
      </c>
      <c r="D21" s="3"/>
      <c r="E21" s="3"/>
    </row>
    <row r="22" customFormat="false" ht="15" hidden="false" customHeight="false" outlineLevel="0" collapsed="false">
      <c r="A22" s="4" t="s">
        <v>108</v>
      </c>
      <c r="B22" s="4" t="s">
        <v>109</v>
      </c>
      <c r="C22" s="15"/>
      <c r="D22" s="4"/>
      <c r="E22" s="4"/>
    </row>
    <row r="23" customFormat="false" ht="15" hidden="false" customHeight="false" outlineLevel="0" collapsed="false">
      <c r="A23" s="4" t="s">
        <v>110</v>
      </c>
      <c r="B23" s="4" t="s">
        <v>111</v>
      </c>
      <c r="C23" s="15"/>
      <c r="D23" s="4"/>
      <c r="E23" s="4"/>
    </row>
    <row r="24" customFormat="false" ht="15" hidden="false" customHeight="false" outlineLevel="0" collapsed="false">
      <c r="A24" s="4" t="s">
        <v>112</v>
      </c>
      <c r="B24" s="4" t="s">
        <v>113</v>
      </c>
      <c r="C24" s="15"/>
      <c r="D24" s="4"/>
      <c r="E24" s="4"/>
    </row>
    <row r="26" customFormat="false" ht="30" hidden="false" customHeight="true" outlineLevel="0" collapsed="false">
      <c r="A26" s="9" t="s">
        <v>47</v>
      </c>
      <c r="B26" s="17" t="str">
        <f aca="false">IF(AND(D12="✅ PASS",D13="✅ PASS",D14="✅ PASS",D15="✅ PASS",D16="✅ PASS"),"✅ ALL PASS — retrieval validated, proceed to Agent testing","❌ FAIL — address chunk issues before Agent testing")</f>
        <v>❌ FAIL — address chunk issues before Agent testing</v>
      </c>
      <c r="C26" s="17"/>
      <c r="D26" s="17"/>
      <c r="E26" s="17"/>
    </row>
  </sheetData>
  <mergeCells count="10">
    <mergeCell ref="A1:E1"/>
    <mergeCell ref="A3:E3"/>
    <mergeCell ref="A4:E4"/>
    <mergeCell ref="A6:E6"/>
    <mergeCell ref="A7:E7"/>
    <mergeCell ref="B8:E8"/>
    <mergeCell ref="A10:E10"/>
    <mergeCell ref="A18:E18"/>
    <mergeCell ref="A20:E20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2026-05-25T02:14:15Z</dcterms:created>
  <dc:creator>openpyxl</dc:creator>
  <dc:description/>
  <dc:language>en-US</dc:language>
  <cp:lastModifiedBy/>
  <dcterms:modified xsi:type="dcterms:W3CDTF">2026-05-25T02:14:15Z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